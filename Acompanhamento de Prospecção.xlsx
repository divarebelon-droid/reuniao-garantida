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GISTRO DIARIO" sheetId="1" r:id="rId5"/>
    <sheet state="visible" name="SEMANAL" sheetId="2" r:id="rId6"/>
    <sheet state="visible" name="MENSAL" sheetId="3" r:id="rId7"/>
    <sheet state="visible" name="PAINEL" sheetId="4" r:id="rId8"/>
  </sheets>
  <definedNames/>
  <calcPr/>
</workbook>
</file>

<file path=xl/sharedStrings.xml><?xml version="1.0" encoding="utf-8"?>
<sst xmlns="http://schemas.openxmlformats.org/spreadsheetml/2006/main" count="443" uniqueCount="127">
  <si>
    <t>REGISTRO DIÁRIO DE PROSPECÇÃO — 2026</t>
  </si>
  <si>
    <t>RESULTADOS MENSAIS — Janeiro a Dezembro</t>
  </si>
  <si>
    <t>PROSPECÇÃO SEMANAL — preencha toda sexta-feira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</si>
  <si>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</si>
  <si>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</si>
  <si>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</si>
  <si>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</si>
  <si>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</si>
  <si>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</si>
  <si>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</si>
  <si>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</si>
  <si>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</si>
  <si>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</si>
  <si>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</si>
  <si>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</si>
  <si>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META</t>
  </si>
  <si>
    <t>ACOMPANHAMENTO DE PROSPECÇÃO — Reunião Garantida</t>
  </si>
  <si>
    <t>Social Media:</t>
  </si>
  <si>
    <t>Digite seu nome aqui</t>
  </si>
  <si>
    <t>Mês de referência:</t>
  </si>
  <si>
    <t>KPI</t>
  </si>
  <si>
    <t>Mês de referência:        01/07/2026</t>
  </si>
  <si>
    <t>PROSPECÇÕES (total do mês)</t>
  </si>
  <si>
    <t>INDICADOR</t>
  </si>
  <si>
    <t>REUNIÕES REALIZADAS (mês)</t>
  </si>
  <si>
    <t>FECHAMENTOS (mês)</t>
  </si>
  <si>
    <t>Valor</t>
  </si>
  <si>
    <t>DATA</t>
  </si>
  <si>
    <t>DIA</t>
  </si>
  <si>
    <t>PROSP. ENVIADAS</t>
  </si>
  <si>
    <t>RESPOSTAS</t>
  </si>
  <si>
    <t>REUNIÕES AGENDADAS (nº)</t>
  </si>
  <si>
    <t>REUNIÕES REALIZADAS (nº)</t>
  </si>
  <si>
    <t>FECHAMENTOS (nº)</t>
  </si>
  <si>
    <t>LEADS → COMUNIDADE (nº)</t>
  </si>
  <si>
    <t>OBSERVAÇÕES</t>
  </si>
  <si>
    <t>Meta</t>
  </si>
  <si>
    <t>600 / mês</t>
  </si>
  <si>
    <t>~35 / mês</t>
  </si>
  <si>
    <t>4 / mês</t>
  </si>
  <si>
    <t>SEMÁFORO SEMANAL</t>
  </si>
  <si>
    <t>── PROSPECÇÃO ──</t>
  </si>
  <si>
    <t>VERDE</t>
  </si>
  <si>
    <t>150+ prospecções + 5+ reuniões agendadas + 1+ fechamento na semana</t>
  </si>
  <si>
    <t>AMARELO</t>
  </si>
  <si>
    <t>100 a 149 prospecções ou nenhuma reunião agendada → revise o script de abertura</t>
  </si>
  <si>
    <t>VERMELHO</t>
  </si>
  <si>
    <t>menos de 100 prospecções ou nenhuma venda → pare e diagnostique</t>
  </si>
  <si>
    <t>STATUS ATUAL (Semana 1)</t>
  </si>
  <si>
    <t>── JAN ──</t>
  </si>
  <si>
    <t>SEM 1</t>
  </si>
  <si>
    <t>SEM 2</t>
  </si>
  <si>
    <t>SEM 3</t>
  </si>
  <si>
    <t>SEM 4</t>
  </si>
  <si>
    <t>SEM 5</t>
  </si>
  <si>
    <t>LEGENDA:</t>
  </si>
  <si>
    <t>TOTAL MÊS</t>
  </si>
  <si>
    <t>Células em branco = preencha na aba SEMANAL   |   Taxas e totais são calculados automaticamente</t>
  </si>
  <si>
    <t>STATUS</t>
  </si>
  <si>
    <t>Total de prospecções</t>
  </si>
  <si>
    <t>Qui</t>
  </si>
  <si>
    <t>Sex</t>
  </si>
  <si>
    <t>Seg</t>
  </si>
  <si>
    <t>Ter</t>
  </si>
  <si>
    <t>Qua</t>
  </si>
  <si>
    <t>Metas de referência</t>
  </si>
  <si>
    <t>Semana 1</t>
  </si>
  <si>
    <t>Meta: 600/mês</t>
  </si>
  <si>
    <t>Prospecções enviadas  |  Meta: 150/sem</t>
  </si>
  <si>
    <t>Semana 2</t>
  </si>
  <si>
    <t>Semana 3</t>
  </si>
  <si>
    <t>Respostas recebidas   |  Meta: 8-10/sem</t>
  </si>
  <si>
    <t>Semana 4</t>
  </si>
  <si>
    <t>Reuniões realizadas</t>
  </si>
  <si>
    <t>── FEV ──</t>
  </si>
  <si>
    <t>Taxa de resposta (%)  |  Meta: ≥5%</t>
  </si>
  <si>
    <t>Reuniões agendadas    |  Meta: 5-8/sem</t>
  </si>
  <si>
    <t>Meta: ~35/mês</t>
  </si>
  <si>
    <t>Taxa de agendamento (%)</t>
  </si>
  <si>
    <t>Taxa de agendamento (%) |  Meta: ≥5%</t>
  </si>
  <si>
    <t>Reuniões realizadas   |  Meta: ≥80% agendado</t>
  </si>
  <si>
    <t>Meta: ≥5%</t>
  </si>
  <si>
    <t>Taxa de fechamento (%)</t>
  </si>
  <si>
    <t>Meta: ≥11%</t>
  </si>
  <si>
    <t>── MAR ──</t>
  </si>
  <si>
    <t>Planos de ação fechados</t>
  </si>
  <si>
    <t>Taxa de realização (%) |  Meta: ≥80%</t>
  </si>
  <si>
    <t>Planos de ação fechados |  Meta: 1/sem</t>
  </si>
  <si>
    <t>Taxa de fechamento (%) |  Meta: ≥11%</t>
  </si>
  <si>
    <t>Meta: 4/mês</t>
  </si>
  <si>
    <t>Propostas de recorrente apresentadas</t>
  </si>
  <si>
    <t>Leads convidados p/ comunidade</t>
  </si>
  <si>
    <t>Meta: = planos sem. 3</t>
  </si>
  <si>
    <t>Novos recorrentes assinados</t>
  </si>
  <si>
    <t>Meta: crescente</t>
  </si>
  <si>
    <t>Recorrentes acumulados</t>
  </si>
  <si>
    <t>── ABR ──</t>
  </si>
  <si>
    <t>Meta: 10 ao final do ano</t>
  </si>
  <si>
    <t>Todos que não fecharam</t>
  </si>
  <si>
    <t>── FINANCEIRO ──</t>
  </si>
  <si>
    <t>Ticket plano de ação (R$) — ajuste</t>
  </si>
  <si>
    <t>── MAI ──</t>
  </si>
  <si>
    <t>Ticket recorrente (R$) — ajuste</t>
  </si>
  <si>
    <t>Receita planos de ação (R$)</t>
  </si>
  <si>
    <t>Receita recorrentes (R$)</t>
  </si>
  <si>
    <t>RECEITA BRUTA TOTAL (R$)</t>
  </si>
  <si>
    <t>Investimento em tráfego (R$)</t>
  </si>
  <si>
    <t>R$ 300-500/mês</t>
  </si>
  <si>
    <t>ROI do tráfego</t>
  </si>
  <si>
    <t>Meta: ≥3x</t>
  </si>
  <si>
    <t>── JUN ──</t>
  </si>
  <si>
    <t>Custo por reunião (R$)</t>
  </si>
  <si>
    <t>acompanhar</t>
  </si>
  <si>
    <t>── COMUNIDADE ──</t>
  </si>
  <si>
    <t>Posts na comunidade</t>
  </si>
  <si>
    <t>Meta: 8-12/mês</t>
  </si>
  <si>
    <t>Check-ins com leads quentes</t>
  </si>
  <si>
    <t>Meta: 5+/mês</t>
  </si>
  <si>
    <t>Conversões comunidade → fechamento</t>
  </si>
  <si>
    <t>Meta: ≥1/mês</t>
  </si>
  <si>
    <t>── JUL ──</t>
  </si>
  <si>
    <t>── AGO ──</t>
  </si>
  <si>
    <t>── SET ──</t>
  </si>
  <si>
    <t>── OUT ──</t>
  </si>
  <si>
    <t>── NOV ──</t>
  </si>
  <si>
    <t>── DEZ ──</t>
  </si>
  <si>
    <t>TOTAL ANO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</si>
</sst>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mmm/yyyy"/>
    <numFmt numFmtId="165" formatCode="m/d/yyyy"/>
    <numFmt numFmtId="166" formatCode="dd/mm"/>
    <numFmt numFmtId="167" formatCode="d/m"/>
  </numFmts>
  <fonts count="3">
    <font>
      <sz val="10.0"/>
      <color rgb="FF000000"/>
      <name val="Arial"/>
      <scheme val="minor"/>
    </font>
    <font>
      <b/>
      <sz val="11.0"/>
      <color rgb="FFFFFFFF"/>
      <name val="Arial"/>
    </font>
    <font>
      <sz val="11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1A3A5C"/>
        <bgColor rgb="FF1A3A5C"/>
      </patternFill>
    </fill>
    <fill>
      <patternFill patternType="solid">
        <fgColor rgb="FFF5F5F5"/>
        <bgColor rgb="FFF5F5F5"/>
      </patternFill>
    </fill>
    <fill>
      <patternFill patternType="solid">
        <fgColor rgb="FFFFF3CD"/>
        <bgColor rgb="FFFFF3CD"/>
      </patternFill>
    </fill>
    <fill>
      <patternFill patternType="solid">
        <fgColor rgb="FFE3F2FD"/>
        <bgColor rgb="FFE3F2FD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1" numFmtId="4" xfId="0" applyAlignment="1" applyBorder="1" applyFont="1" applyNumberForma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2" numFmtId="164" xfId="0" applyAlignment="1" applyFont="1" applyNumberFormat="1">
      <alignment shrinkToFit="0" vertical="bottom" wrapText="0"/>
    </xf>
    <xf borderId="1" fillId="3" fontId="2" numFmtId="0" xfId="0" applyAlignment="1" applyBorder="1" applyFill="1" applyFont="1">
      <alignment shrinkToFit="0" vertical="bottom" wrapText="0"/>
    </xf>
    <xf borderId="1" fillId="3" fontId="2" numFmtId="165" xfId="0" applyAlignment="1" applyBorder="1" applyFont="1" applyNumberFormat="1">
      <alignment shrinkToFit="0" vertical="bottom" wrapText="0"/>
    </xf>
    <xf borderId="1" fillId="4" fontId="2" numFmtId="0" xfId="0" applyAlignment="1" applyBorder="1" applyFill="1" applyFont="1">
      <alignment shrinkToFit="0" vertical="bottom" wrapText="0"/>
    </xf>
    <xf borderId="1" fillId="4" fontId="2" numFmtId="4" xfId="0" applyAlignment="1" applyBorder="1" applyFont="1" applyNumberFormat="1">
      <alignment shrinkToFit="0" vertical="bottom" wrapText="0"/>
    </xf>
    <xf borderId="1" fillId="5" fontId="2" numFmtId="0" xfId="0" applyAlignment="1" applyBorder="1" applyFill="1" applyFont="1">
      <alignment shrinkToFit="0" vertical="bottom" wrapText="0"/>
    </xf>
    <xf borderId="0" fillId="0" fontId="2" numFmtId="166" xfId="0" applyAlignment="1" applyFont="1" applyNumberFormat="1">
      <alignment shrinkToFit="0" vertical="bottom" wrapText="0"/>
    </xf>
    <xf borderId="0" fillId="0" fontId="2" numFmtId="1" xfId="0" applyAlignment="1" applyFont="1" applyNumberFormat="1">
      <alignment shrinkToFit="0" vertical="bottom" wrapText="0"/>
    </xf>
    <xf borderId="1" fillId="3" fontId="2" numFmtId="1" xfId="0" applyAlignment="1" applyBorder="1" applyFont="1" applyNumberFormat="1">
      <alignment shrinkToFit="0" vertical="bottom" wrapText="0"/>
    </xf>
    <xf borderId="1" fillId="4" fontId="2" numFmtId="1" xfId="0" applyAlignment="1" applyBorder="1" applyFont="1" applyNumberFormat="1">
      <alignment shrinkToFit="0" vertical="bottom" wrapText="0"/>
    </xf>
    <xf borderId="1" fillId="3" fontId="2" numFmtId="10" xfId="0" applyAlignment="1" applyBorder="1" applyFont="1" applyNumberFormat="1">
      <alignment shrinkToFit="0" vertical="bottom" wrapText="0"/>
    </xf>
    <xf borderId="0" fillId="0" fontId="2" numFmtId="167" xfId="0" applyAlignment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0"/>
  <cols>
    <col customWidth="1" min="1" max="1" width="24.5"/>
    <col customWidth="1" min="2" max="2" width="12.63"/>
    <col customWidth="1" min="3" max="3" width="20.0"/>
    <col customWidth="1" min="4" max="4" width="12.63"/>
    <col customWidth="1" min="5" max="5" width="32.38"/>
    <col customWidth="1" min="6" max="6" width="30.75"/>
    <col customWidth="1" min="7" max="7" width="19.63"/>
    <col customWidth="1" min="8" max="8" width="26.5"/>
    <col customWidth="1" min="9" max="9" width="15.75"/>
  </cols>
  <sheetData>
    <row r="1" ht="15.75" customHeight="1">
      <c r="A1" s="1" t="s">
        <v>0</v>
      </c>
      <c r="B1" s="1"/>
      <c r="C1" s="1"/>
      <c r="D1" s="1"/>
      <c r="E1" s="2"/>
      <c r="F1" s="2"/>
      <c r="G1" s="2"/>
      <c r="H1" s="2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1" t="s">
        <v>27</v>
      </c>
      <c r="B2" s="1" t="s">
        <v>28</v>
      </c>
      <c r="C2" s="1" t="s">
        <v>29</v>
      </c>
      <c r="D2" s="1" t="s">
        <v>30</v>
      </c>
      <c r="E2" s="2" t="s">
        <v>31</v>
      </c>
      <c r="F2" s="2" t="s">
        <v>32</v>
      </c>
      <c r="G2" s="2" t="s">
        <v>33</v>
      </c>
      <c r="H2" s="2" t="s">
        <v>34</v>
      </c>
      <c r="I2" s="1" t="s">
        <v>35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75" customHeight="1">
      <c r="A3" s="7" t="s">
        <v>49</v>
      </c>
      <c r="B3" s="7"/>
      <c r="C3" s="7"/>
      <c r="D3" s="7"/>
      <c r="E3" s="8"/>
      <c r="F3" s="8"/>
      <c r="G3" s="8"/>
      <c r="H3" s="8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5.75" customHeight="1">
      <c r="A4" s="10">
        <v>46023.0</v>
      </c>
      <c r="B4" s="3" t="s">
        <v>60</v>
      </c>
      <c r="E4" s="11"/>
      <c r="F4" s="11"/>
      <c r="G4" s="11"/>
      <c r="H4" s="11"/>
    </row>
    <row r="5" ht="15.75" customHeight="1">
      <c r="A5" s="10">
        <v>46024.0</v>
      </c>
      <c r="B5" s="3" t="s">
        <v>61</v>
      </c>
      <c r="E5" s="11"/>
      <c r="F5" s="11"/>
      <c r="G5" s="11"/>
      <c r="H5" s="11"/>
    </row>
    <row r="6" ht="15.75" customHeight="1">
      <c r="A6" s="10">
        <v>46027.0</v>
      </c>
      <c r="B6" s="3" t="s">
        <v>62</v>
      </c>
      <c r="E6" s="11"/>
      <c r="F6" s="11"/>
      <c r="G6" s="11"/>
      <c r="H6" s="11"/>
    </row>
    <row r="7" ht="15.75" customHeight="1">
      <c r="A7" s="10">
        <v>46028.0</v>
      </c>
      <c r="B7" s="3" t="s">
        <v>63</v>
      </c>
      <c r="E7" s="11"/>
      <c r="F7" s="11"/>
      <c r="G7" s="11"/>
      <c r="H7" s="11"/>
    </row>
    <row r="8" ht="15.75" customHeight="1">
      <c r="A8" s="10">
        <v>46029.0</v>
      </c>
      <c r="B8" s="3" t="s">
        <v>64</v>
      </c>
      <c r="E8" s="11"/>
      <c r="F8" s="11"/>
      <c r="G8" s="11"/>
      <c r="H8" s="11"/>
    </row>
    <row r="9" ht="15.75" customHeight="1">
      <c r="A9" s="5" t="s">
        <v>66</v>
      </c>
      <c r="B9" s="5"/>
      <c r="C9" s="5"/>
      <c r="D9" s="5"/>
      <c r="E9" s="12"/>
      <c r="F9" s="12"/>
      <c r="G9" s="12"/>
      <c r="H9" s="12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5.75" customHeight="1">
      <c r="A10" s="10">
        <v>46030.0</v>
      </c>
      <c r="B10" s="3" t="s">
        <v>60</v>
      </c>
      <c r="E10" s="11"/>
      <c r="F10" s="11"/>
      <c r="G10" s="11"/>
      <c r="H10" s="11"/>
    </row>
    <row r="11" ht="15.75" customHeight="1">
      <c r="A11" s="10">
        <v>46031.0</v>
      </c>
      <c r="B11" s="3" t="s">
        <v>61</v>
      </c>
      <c r="E11" s="11"/>
      <c r="F11" s="11"/>
      <c r="G11" s="11"/>
      <c r="H11" s="11"/>
    </row>
    <row r="12" ht="15.75" customHeight="1">
      <c r="A12" s="10">
        <v>46034.0</v>
      </c>
      <c r="B12" s="3" t="s">
        <v>62</v>
      </c>
      <c r="E12" s="11"/>
      <c r="F12" s="11"/>
      <c r="G12" s="11"/>
      <c r="H12" s="11"/>
    </row>
    <row r="13" ht="15.75" customHeight="1">
      <c r="A13" s="10">
        <v>46035.0</v>
      </c>
      <c r="B13" s="3" t="s">
        <v>63</v>
      </c>
      <c r="E13" s="11"/>
      <c r="F13" s="11"/>
      <c r="G13" s="11"/>
      <c r="H13" s="11"/>
    </row>
    <row r="14" ht="15.75" customHeight="1">
      <c r="A14" s="10">
        <v>46036.0</v>
      </c>
      <c r="B14" s="3" t="s">
        <v>64</v>
      </c>
      <c r="E14" s="11"/>
      <c r="F14" s="11"/>
      <c r="G14" s="11"/>
      <c r="H14" s="11"/>
    </row>
    <row r="15" ht="15.75" customHeight="1">
      <c r="A15" s="5" t="s">
        <v>69</v>
      </c>
      <c r="B15" s="5"/>
      <c r="C15" s="5"/>
      <c r="D15" s="5"/>
      <c r="E15" s="12"/>
      <c r="F15" s="12"/>
      <c r="G15" s="12"/>
      <c r="H15" s="12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5.75" customHeight="1">
      <c r="A16" s="10">
        <v>46037.0</v>
      </c>
      <c r="B16" s="3" t="s">
        <v>60</v>
      </c>
      <c r="E16" s="11"/>
      <c r="F16" s="11"/>
      <c r="G16" s="11"/>
      <c r="H16" s="11"/>
    </row>
    <row r="17" ht="15.75" customHeight="1">
      <c r="A17" s="10">
        <v>46038.0</v>
      </c>
      <c r="B17" s="3" t="s">
        <v>61</v>
      </c>
      <c r="E17" s="11"/>
      <c r="F17" s="11"/>
      <c r="G17" s="11"/>
      <c r="H17" s="11"/>
    </row>
    <row r="18" ht="15.75" customHeight="1">
      <c r="A18" s="10">
        <v>46041.0</v>
      </c>
      <c r="B18" s="3" t="s">
        <v>62</v>
      </c>
      <c r="E18" s="11"/>
      <c r="F18" s="11"/>
      <c r="G18" s="11"/>
      <c r="H18" s="11"/>
    </row>
    <row r="19" ht="15.75" customHeight="1">
      <c r="A19" s="10">
        <v>46042.0</v>
      </c>
      <c r="B19" s="3" t="s">
        <v>63</v>
      </c>
      <c r="E19" s="11"/>
      <c r="F19" s="11"/>
      <c r="G19" s="11"/>
      <c r="H19" s="11"/>
    </row>
    <row r="20" ht="15.75" customHeight="1">
      <c r="A20" s="10">
        <v>46043.0</v>
      </c>
      <c r="B20" s="3" t="s">
        <v>64</v>
      </c>
      <c r="E20" s="11"/>
      <c r="F20" s="11"/>
      <c r="G20" s="11"/>
      <c r="H20" s="11"/>
    </row>
    <row r="21" ht="15.75" customHeight="1">
      <c r="A21" s="5" t="s">
        <v>70</v>
      </c>
      <c r="B21" s="5"/>
      <c r="C21" s="5"/>
      <c r="D21" s="5"/>
      <c r="E21" s="12"/>
      <c r="F21" s="12"/>
      <c r="G21" s="12"/>
      <c r="H21" s="12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10">
        <v>46044.0</v>
      </c>
      <c r="B22" s="3" t="s">
        <v>60</v>
      </c>
      <c r="E22" s="11"/>
      <c r="F22" s="11"/>
      <c r="G22" s="11"/>
      <c r="H22" s="11"/>
    </row>
    <row r="23" ht="15.75" customHeight="1">
      <c r="A23" s="10">
        <v>46045.0</v>
      </c>
      <c r="B23" s="3" t="s">
        <v>61</v>
      </c>
      <c r="E23" s="11"/>
      <c r="F23" s="11"/>
      <c r="G23" s="11"/>
      <c r="H23" s="11"/>
    </row>
    <row r="24" ht="15.75" customHeight="1">
      <c r="A24" s="10">
        <v>46048.0</v>
      </c>
      <c r="B24" s="3" t="s">
        <v>62</v>
      </c>
      <c r="E24" s="11"/>
      <c r="F24" s="11"/>
      <c r="G24" s="11"/>
      <c r="H24" s="11"/>
    </row>
    <row r="25" ht="15.75" customHeight="1">
      <c r="A25" s="10">
        <v>46049.0</v>
      </c>
      <c r="B25" s="3" t="s">
        <v>63</v>
      </c>
      <c r="E25" s="11"/>
      <c r="F25" s="11"/>
      <c r="G25" s="11"/>
      <c r="H25" s="11"/>
    </row>
    <row r="26" ht="15.75" customHeight="1">
      <c r="A26" s="10">
        <v>46050.0</v>
      </c>
      <c r="B26" s="3" t="s">
        <v>64</v>
      </c>
      <c r="E26" s="11"/>
      <c r="F26" s="11"/>
      <c r="G26" s="11"/>
      <c r="H26" s="11"/>
    </row>
    <row r="27" ht="15.75" customHeight="1">
      <c r="A27" s="5" t="s">
        <v>72</v>
      </c>
      <c r="B27" s="5"/>
      <c r="C27" s="5"/>
      <c r="D27" s="5"/>
      <c r="E27" s="12"/>
      <c r="F27" s="12"/>
      <c r="G27" s="12"/>
      <c r="H27" s="12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10">
        <v>46051.0</v>
      </c>
      <c r="B28" s="3" t="s">
        <v>60</v>
      </c>
      <c r="E28" s="11"/>
      <c r="F28" s="11"/>
      <c r="G28" s="11"/>
      <c r="H28" s="11"/>
    </row>
    <row r="29" ht="15.75" customHeight="1">
      <c r="A29" s="10">
        <v>46052.0</v>
      </c>
      <c r="B29" s="3" t="s">
        <v>61</v>
      </c>
      <c r="E29" s="11"/>
      <c r="F29" s="11"/>
      <c r="G29" s="11"/>
      <c r="H29" s="11"/>
    </row>
    <row r="30" ht="15.75" customHeight="1">
      <c r="A30" s="7" t="s">
        <v>74</v>
      </c>
      <c r="B30" s="7"/>
      <c r="C30" s="7"/>
      <c r="D30" s="7"/>
      <c r="E30" s="13"/>
      <c r="F30" s="13"/>
      <c r="G30" s="13"/>
      <c r="H30" s="13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5.75" customHeight="1">
      <c r="A31" s="10">
        <v>46055.0</v>
      </c>
      <c r="B31" s="3" t="s">
        <v>62</v>
      </c>
      <c r="E31" s="11"/>
      <c r="F31" s="11"/>
      <c r="G31" s="11"/>
      <c r="H31" s="11"/>
    </row>
    <row r="32" ht="15.75" customHeight="1">
      <c r="A32" s="10">
        <v>46056.0</v>
      </c>
      <c r="B32" s="3" t="s">
        <v>63</v>
      </c>
      <c r="E32" s="11"/>
      <c r="F32" s="11"/>
      <c r="G32" s="11"/>
      <c r="H32" s="11"/>
    </row>
    <row r="33" ht="15.75" customHeight="1">
      <c r="A33" s="10">
        <v>46057.0</v>
      </c>
      <c r="B33" s="3" t="s">
        <v>64</v>
      </c>
      <c r="E33" s="11"/>
      <c r="F33" s="11"/>
      <c r="G33" s="11"/>
      <c r="H33" s="11"/>
    </row>
    <row r="34" ht="15.75" customHeight="1">
      <c r="A34" s="10">
        <v>46058.0</v>
      </c>
      <c r="B34" s="3" t="s">
        <v>60</v>
      </c>
      <c r="E34" s="11"/>
      <c r="F34" s="11"/>
      <c r="G34" s="11"/>
      <c r="H34" s="11"/>
    </row>
    <row r="35" ht="15.75" customHeight="1">
      <c r="A35" s="10">
        <v>46059.0</v>
      </c>
      <c r="B35" s="3" t="s">
        <v>61</v>
      </c>
      <c r="E35" s="11"/>
      <c r="F35" s="11"/>
      <c r="G35" s="11"/>
      <c r="H35" s="11"/>
    </row>
    <row r="36" ht="15.75" customHeight="1">
      <c r="A36" s="5" t="s">
        <v>66</v>
      </c>
      <c r="B36" s="5"/>
      <c r="C36" s="5"/>
      <c r="D36" s="5"/>
      <c r="E36" s="12"/>
      <c r="F36" s="12"/>
      <c r="G36" s="12"/>
      <c r="H36" s="12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10">
        <v>46062.0</v>
      </c>
      <c r="B37" s="3" t="s">
        <v>62</v>
      </c>
      <c r="E37" s="11"/>
      <c r="F37" s="11"/>
      <c r="G37" s="11"/>
      <c r="H37" s="11"/>
    </row>
    <row r="38" ht="15.75" customHeight="1">
      <c r="A38" s="10">
        <v>46063.0</v>
      </c>
      <c r="B38" s="3" t="s">
        <v>63</v>
      </c>
      <c r="E38" s="11"/>
      <c r="F38" s="11"/>
      <c r="G38" s="11"/>
      <c r="H38" s="11"/>
    </row>
    <row r="39" ht="15.75" customHeight="1">
      <c r="A39" s="10">
        <v>46064.0</v>
      </c>
      <c r="B39" s="3" t="s">
        <v>64</v>
      </c>
      <c r="E39" s="11"/>
      <c r="F39" s="11"/>
      <c r="G39" s="11"/>
      <c r="H39" s="11"/>
    </row>
    <row r="40" ht="15.75" customHeight="1">
      <c r="A40" s="10">
        <v>46065.0</v>
      </c>
      <c r="B40" s="3" t="s">
        <v>60</v>
      </c>
      <c r="E40" s="11"/>
      <c r="F40" s="11"/>
      <c r="G40" s="11"/>
      <c r="H40" s="11"/>
    </row>
    <row r="41" ht="15.75" customHeight="1">
      <c r="A41" s="10">
        <v>46066.0</v>
      </c>
      <c r="B41" s="3" t="s">
        <v>61</v>
      </c>
      <c r="E41" s="11"/>
      <c r="F41" s="11"/>
      <c r="G41" s="11"/>
      <c r="H41" s="11"/>
    </row>
    <row r="42" ht="15.75" customHeight="1">
      <c r="A42" s="5" t="s">
        <v>69</v>
      </c>
      <c r="B42" s="5"/>
      <c r="C42" s="5"/>
      <c r="D42" s="5"/>
      <c r="E42" s="12"/>
      <c r="F42" s="12"/>
      <c r="G42" s="12"/>
      <c r="H42" s="12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10">
        <v>46069.0</v>
      </c>
      <c r="B43" s="3" t="s">
        <v>62</v>
      </c>
      <c r="E43" s="11"/>
      <c r="F43" s="11"/>
      <c r="G43" s="11"/>
      <c r="H43" s="11"/>
    </row>
    <row r="44" ht="15.75" customHeight="1">
      <c r="A44" s="10">
        <v>46070.0</v>
      </c>
      <c r="B44" s="3" t="s">
        <v>63</v>
      </c>
      <c r="E44" s="11"/>
      <c r="F44" s="11"/>
      <c r="G44" s="11"/>
      <c r="H44" s="11"/>
    </row>
    <row r="45" ht="15.75" customHeight="1">
      <c r="A45" s="10">
        <v>46071.0</v>
      </c>
      <c r="B45" s="3" t="s">
        <v>64</v>
      </c>
      <c r="E45" s="11"/>
      <c r="F45" s="11"/>
      <c r="G45" s="11"/>
      <c r="H45" s="11"/>
    </row>
    <row r="46" ht="15.75" customHeight="1">
      <c r="A46" s="10">
        <v>46072.0</v>
      </c>
      <c r="B46" s="3" t="s">
        <v>60</v>
      </c>
      <c r="E46" s="11"/>
      <c r="F46" s="11"/>
      <c r="G46" s="11"/>
      <c r="H46" s="11"/>
    </row>
    <row r="47" ht="15.75" customHeight="1">
      <c r="A47" s="10">
        <v>46073.0</v>
      </c>
      <c r="B47" s="3" t="s">
        <v>61</v>
      </c>
      <c r="E47" s="11"/>
      <c r="F47" s="11"/>
      <c r="G47" s="11"/>
      <c r="H47" s="11"/>
    </row>
    <row r="48" ht="15.75" customHeight="1">
      <c r="A48" s="5" t="s">
        <v>70</v>
      </c>
      <c r="B48" s="5"/>
      <c r="C48" s="5"/>
      <c r="D48" s="5"/>
      <c r="E48" s="12"/>
      <c r="F48" s="12"/>
      <c r="G48" s="12"/>
      <c r="H48" s="12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10">
        <v>46076.0</v>
      </c>
      <c r="B49" s="3" t="s">
        <v>62</v>
      </c>
      <c r="E49" s="11"/>
      <c r="F49" s="11"/>
      <c r="G49" s="11"/>
      <c r="H49" s="11"/>
    </row>
    <row r="50" ht="15.75" customHeight="1">
      <c r="A50" s="10">
        <v>46077.0</v>
      </c>
      <c r="B50" s="3" t="s">
        <v>63</v>
      </c>
      <c r="E50" s="11"/>
      <c r="F50" s="11"/>
      <c r="G50" s="11"/>
      <c r="H50" s="11"/>
    </row>
    <row r="51" ht="15.75" customHeight="1">
      <c r="A51" s="10">
        <v>46078.0</v>
      </c>
      <c r="B51" s="3" t="s">
        <v>64</v>
      </c>
      <c r="E51" s="11"/>
      <c r="F51" s="11"/>
      <c r="G51" s="11"/>
      <c r="H51" s="11"/>
    </row>
    <row r="52" ht="15.75" customHeight="1">
      <c r="A52" s="10">
        <v>46079.0</v>
      </c>
      <c r="B52" s="3" t="s">
        <v>60</v>
      </c>
      <c r="E52" s="11"/>
      <c r="F52" s="11"/>
      <c r="G52" s="11"/>
      <c r="H52" s="11"/>
    </row>
    <row r="53" ht="15.75" customHeight="1">
      <c r="A53" s="10">
        <v>46080.0</v>
      </c>
      <c r="B53" s="3" t="s">
        <v>61</v>
      </c>
      <c r="E53" s="11"/>
      <c r="F53" s="11"/>
      <c r="G53" s="11"/>
      <c r="H53" s="11"/>
    </row>
    <row r="54" ht="15.75" customHeight="1">
      <c r="A54" s="5" t="s">
        <v>72</v>
      </c>
      <c r="B54" s="5"/>
      <c r="C54" s="5"/>
      <c r="D54" s="5"/>
      <c r="E54" s="12"/>
      <c r="F54" s="12"/>
      <c r="G54" s="12"/>
      <c r="H54" s="12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7" t="s">
        <v>84</v>
      </c>
      <c r="B55" s="7"/>
      <c r="C55" s="7"/>
      <c r="D55" s="7"/>
      <c r="E55" s="13"/>
      <c r="F55" s="13"/>
      <c r="G55" s="13"/>
      <c r="H55" s="13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10">
        <v>46083.0</v>
      </c>
      <c r="B56" s="3" t="s">
        <v>62</v>
      </c>
      <c r="E56" s="11"/>
      <c r="F56" s="11"/>
      <c r="G56" s="11"/>
      <c r="H56" s="11"/>
    </row>
    <row r="57" ht="15.75" customHeight="1">
      <c r="A57" s="10">
        <v>46084.0</v>
      </c>
      <c r="B57" s="3" t="s">
        <v>63</v>
      </c>
      <c r="E57" s="11"/>
      <c r="F57" s="11"/>
      <c r="G57" s="11"/>
      <c r="H57" s="11"/>
    </row>
    <row r="58" ht="15.75" customHeight="1">
      <c r="A58" s="10">
        <v>46085.0</v>
      </c>
      <c r="B58" s="3" t="s">
        <v>64</v>
      </c>
      <c r="E58" s="11"/>
      <c r="F58" s="11"/>
      <c r="G58" s="11"/>
      <c r="H58" s="11"/>
    </row>
    <row r="59" ht="15.75" customHeight="1">
      <c r="A59" s="10">
        <v>46086.0</v>
      </c>
      <c r="B59" s="3" t="s">
        <v>60</v>
      </c>
      <c r="E59" s="11"/>
      <c r="F59" s="11"/>
      <c r="G59" s="11"/>
      <c r="H59" s="11"/>
    </row>
    <row r="60" ht="15.75" customHeight="1">
      <c r="A60" s="10">
        <v>46087.0</v>
      </c>
      <c r="B60" s="3" t="s">
        <v>61</v>
      </c>
      <c r="E60" s="11"/>
      <c r="F60" s="11"/>
      <c r="G60" s="11"/>
      <c r="H60" s="11"/>
    </row>
    <row r="61" ht="15.75" customHeight="1">
      <c r="A61" s="5" t="s">
        <v>66</v>
      </c>
      <c r="B61" s="5"/>
      <c r="C61" s="5"/>
      <c r="D61" s="5"/>
      <c r="E61" s="12"/>
      <c r="F61" s="12"/>
      <c r="G61" s="12"/>
      <c r="H61" s="12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10">
        <v>46090.0</v>
      </c>
      <c r="B62" s="3" t="s">
        <v>62</v>
      </c>
      <c r="E62" s="11"/>
      <c r="F62" s="11"/>
      <c r="G62" s="11"/>
      <c r="H62" s="11"/>
    </row>
    <row r="63" ht="15.75" customHeight="1">
      <c r="A63" s="10">
        <v>46091.0</v>
      </c>
      <c r="B63" s="3" t="s">
        <v>63</v>
      </c>
      <c r="E63" s="11"/>
      <c r="F63" s="11"/>
      <c r="G63" s="11"/>
      <c r="H63" s="11"/>
    </row>
    <row r="64" ht="15.75" customHeight="1">
      <c r="A64" s="10">
        <v>46092.0</v>
      </c>
      <c r="B64" s="3" t="s">
        <v>64</v>
      </c>
      <c r="E64" s="11"/>
      <c r="F64" s="11"/>
      <c r="G64" s="11"/>
      <c r="H64" s="11"/>
    </row>
    <row r="65" ht="15.75" customHeight="1">
      <c r="A65" s="10">
        <v>46093.0</v>
      </c>
      <c r="B65" s="3" t="s">
        <v>60</v>
      </c>
      <c r="E65" s="11"/>
      <c r="F65" s="11"/>
      <c r="G65" s="11"/>
      <c r="H65" s="11"/>
    </row>
    <row r="66" ht="15.75" customHeight="1">
      <c r="A66" s="10">
        <v>46094.0</v>
      </c>
      <c r="B66" s="3" t="s">
        <v>61</v>
      </c>
      <c r="E66" s="11"/>
      <c r="F66" s="11"/>
      <c r="G66" s="11"/>
      <c r="H66" s="11"/>
    </row>
    <row r="67" ht="15.75" customHeight="1">
      <c r="A67" s="5" t="s">
        <v>69</v>
      </c>
      <c r="B67" s="5"/>
      <c r="C67" s="5"/>
      <c r="D67" s="5"/>
      <c r="E67" s="12"/>
      <c r="F67" s="12"/>
      <c r="G67" s="12"/>
      <c r="H67" s="12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10">
        <v>46097.0</v>
      </c>
      <c r="B68" s="3" t="s">
        <v>62</v>
      </c>
      <c r="E68" s="11"/>
      <c r="F68" s="11"/>
      <c r="G68" s="11"/>
      <c r="H68" s="11"/>
    </row>
    <row r="69" ht="15.75" customHeight="1">
      <c r="A69" s="10">
        <v>46098.0</v>
      </c>
      <c r="B69" s="3" t="s">
        <v>63</v>
      </c>
      <c r="E69" s="11"/>
      <c r="F69" s="11"/>
      <c r="G69" s="11"/>
      <c r="H69" s="11"/>
    </row>
    <row r="70" ht="15.75" customHeight="1">
      <c r="A70" s="10">
        <v>46099.0</v>
      </c>
      <c r="B70" s="3" t="s">
        <v>64</v>
      </c>
      <c r="E70" s="11"/>
      <c r="F70" s="11"/>
      <c r="G70" s="11"/>
      <c r="H70" s="11"/>
    </row>
    <row r="71" ht="15.75" customHeight="1">
      <c r="A71" s="10">
        <v>46100.0</v>
      </c>
      <c r="B71" s="3" t="s">
        <v>60</v>
      </c>
      <c r="E71" s="11"/>
      <c r="F71" s="11"/>
      <c r="G71" s="11"/>
      <c r="H71" s="11"/>
    </row>
    <row r="72" ht="15.75" customHeight="1">
      <c r="A72" s="10">
        <v>46101.0</v>
      </c>
      <c r="B72" s="3" t="s">
        <v>61</v>
      </c>
      <c r="E72" s="11"/>
      <c r="F72" s="11"/>
      <c r="G72" s="11"/>
      <c r="H72" s="11"/>
    </row>
    <row r="73" ht="15.75" customHeight="1">
      <c r="A73" s="5" t="s">
        <v>70</v>
      </c>
      <c r="B73" s="5"/>
      <c r="C73" s="5"/>
      <c r="D73" s="5"/>
      <c r="E73" s="12"/>
      <c r="F73" s="12"/>
      <c r="G73" s="12"/>
      <c r="H73" s="12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10">
        <v>46104.0</v>
      </c>
      <c r="B74" s="3" t="s">
        <v>62</v>
      </c>
      <c r="E74" s="11"/>
      <c r="F74" s="11"/>
      <c r="G74" s="11"/>
      <c r="H74" s="11"/>
    </row>
    <row r="75" ht="15.75" customHeight="1">
      <c r="A75" s="10">
        <v>46105.0</v>
      </c>
      <c r="B75" s="3" t="s">
        <v>63</v>
      </c>
      <c r="E75" s="11"/>
      <c r="F75" s="11"/>
      <c r="G75" s="11"/>
      <c r="H75" s="11"/>
    </row>
    <row r="76" ht="15.75" customHeight="1">
      <c r="A76" s="10">
        <v>46106.0</v>
      </c>
      <c r="B76" s="3" t="s">
        <v>64</v>
      </c>
      <c r="E76" s="11"/>
      <c r="F76" s="11"/>
      <c r="G76" s="11"/>
      <c r="H76" s="11"/>
    </row>
    <row r="77" ht="15.75" customHeight="1">
      <c r="A77" s="10">
        <v>46107.0</v>
      </c>
      <c r="B77" s="3" t="s">
        <v>60</v>
      </c>
      <c r="E77" s="11"/>
      <c r="F77" s="11"/>
      <c r="G77" s="11"/>
      <c r="H77" s="11"/>
    </row>
    <row r="78" ht="15.75" customHeight="1">
      <c r="A78" s="10">
        <v>46108.0</v>
      </c>
      <c r="B78" s="3" t="s">
        <v>61</v>
      </c>
      <c r="E78" s="11"/>
      <c r="F78" s="11"/>
      <c r="G78" s="11"/>
      <c r="H78" s="11"/>
    </row>
    <row r="79" ht="15.75" customHeight="1">
      <c r="A79" s="5" t="s">
        <v>72</v>
      </c>
      <c r="B79" s="5"/>
      <c r="C79" s="5"/>
      <c r="D79" s="5"/>
      <c r="E79" s="12"/>
      <c r="F79" s="12"/>
      <c r="G79" s="12"/>
      <c r="H79" s="12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10">
        <v>46111.0</v>
      </c>
      <c r="B80" s="3" t="s">
        <v>62</v>
      </c>
      <c r="E80" s="11"/>
      <c r="F80" s="11"/>
      <c r="G80" s="11"/>
      <c r="H80" s="11"/>
    </row>
    <row r="81" ht="15.75" customHeight="1">
      <c r="A81" s="10">
        <v>46112.0</v>
      </c>
      <c r="B81" s="3" t="s">
        <v>63</v>
      </c>
      <c r="E81" s="11"/>
      <c r="F81" s="11"/>
      <c r="G81" s="11"/>
      <c r="H81" s="11"/>
    </row>
    <row r="82" ht="15.75" customHeight="1">
      <c r="A82" s="7" t="s">
        <v>96</v>
      </c>
      <c r="B82" s="7"/>
      <c r="C82" s="7"/>
      <c r="D82" s="7"/>
      <c r="E82" s="13"/>
      <c r="F82" s="13"/>
      <c r="G82" s="13"/>
      <c r="H82" s="13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5.75" customHeight="1">
      <c r="A83" s="10">
        <v>46113.0</v>
      </c>
      <c r="B83" s="3" t="s">
        <v>64</v>
      </c>
      <c r="E83" s="11"/>
      <c r="F83" s="11"/>
      <c r="G83" s="11"/>
      <c r="H83" s="11"/>
    </row>
    <row r="84" ht="15.75" customHeight="1">
      <c r="A84" s="10">
        <v>46114.0</v>
      </c>
      <c r="B84" s="3" t="s">
        <v>60</v>
      </c>
      <c r="E84" s="11"/>
      <c r="F84" s="11"/>
      <c r="G84" s="11"/>
      <c r="H84" s="11"/>
    </row>
    <row r="85" ht="15.75" customHeight="1">
      <c r="A85" s="10">
        <v>46115.0</v>
      </c>
      <c r="B85" s="3" t="s">
        <v>61</v>
      </c>
      <c r="E85" s="11"/>
      <c r="F85" s="11"/>
      <c r="G85" s="11"/>
      <c r="H85" s="11"/>
    </row>
    <row r="86" ht="15.75" customHeight="1">
      <c r="A86" s="10">
        <v>46118.0</v>
      </c>
      <c r="B86" s="3" t="s">
        <v>62</v>
      </c>
      <c r="E86" s="11"/>
      <c r="F86" s="11"/>
      <c r="G86" s="11"/>
      <c r="H86" s="11"/>
    </row>
    <row r="87" ht="15.75" customHeight="1">
      <c r="A87" s="10">
        <v>46119.0</v>
      </c>
      <c r="B87" s="3" t="s">
        <v>63</v>
      </c>
      <c r="E87" s="11"/>
      <c r="F87" s="11"/>
      <c r="G87" s="11"/>
      <c r="H87" s="11"/>
    </row>
    <row r="88" ht="15.75" customHeight="1">
      <c r="A88" s="5" t="s">
        <v>66</v>
      </c>
      <c r="B88" s="5"/>
      <c r="C88" s="5"/>
      <c r="D88" s="5"/>
      <c r="E88" s="12"/>
      <c r="F88" s="12"/>
      <c r="G88" s="12"/>
      <c r="H88" s="12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10">
        <v>46120.0</v>
      </c>
      <c r="B89" s="3" t="s">
        <v>64</v>
      </c>
      <c r="E89" s="11"/>
      <c r="F89" s="11"/>
      <c r="G89" s="11"/>
      <c r="H89" s="11"/>
    </row>
    <row r="90" ht="15.75" customHeight="1">
      <c r="A90" s="10">
        <v>46121.0</v>
      </c>
      <c r="B90" s="3" t="s">
        <v>60</v>
      </c>
      <c r="E90" s="11"/>
      <c r="F90" s="11"/>
      <c r="G90" s="11"/>
      <c r="H90" s="11"/>
    </row>
    <row r="91" ht="15.75" customHeight="1">
      <c r="A91" s="10">
        <v>46122.0</v>
      </c>
      <c r="B91" s="3" t="s">
        <v>61</v>
      </c>
      <c r="E91" s="11"/>
      <c r="F91" s="11"/>
      <c r="G91" s="11"/>
      <c r="H91" s="11"/>
    </row>
    <row r="92" ht="15.75" customHeight="1">
      <c r="A92" s="10">
        <v>46125.0</v>
      </c>
      <c r="B92" s="3" t="s">
        <v>62</v>
      </c>
      <c r="E92" s="11"/>
      <c r="F92" s="11"/>
      <c r="G92" s="11"/>
      <c r="H92" s="11"/>
    </row>
    <row r="93" ht="15.75" customHeight="1">
      <c r="A93" s="10">
        <v>46126.0</v>
      </c>
      <c r="B93" s="3" t="s">
        <v>63</v>
      </c>
      <c r="E93" s="11"/>
      <c r="F93" s="11"/>
      <c r="G93" s="11"/>
      <c r="H93" s="11"/>
    </row>
    <row r="94" ht="15.75" customHeight="1">
      <c r="A94" s="5" t="s">
        <v>69</v>
      </c>
      <c r="B94" s="5"/>
      <c r="C94" s="5"/>
      <c r="D94" s="5"/>
      <c r="E94" s="12"/>
      <c r="F94" s="12"/>
      <c r="G94" s="12"/>
      <c r="H94" s="12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10">
        <v>46127.0</v>
      </c>
      <c r="B95" s="3" t="s">
        <v>64</v>
      </c>
      <c r="E95" s="11"/>
      <c r="F95" s="11"/>
      <c r="G95" s="11"/>
      <c r="H95" s="11"/>
    </row>
    <row r="96" ht="15.75" customHeight="1">
      <c r="A96" s="10">
        <v>46128.0</v>
      </c>
      <c r="B96" s="3" t="s">
        <v>60</v>
      </c>
      <c r="E96" s="11"/>
      <c r="F96" s="11"/>
      <c r="G96" s="11"/>
      <c r="H96" s="11"/>
    </row>
    <row r="97" ht="15.75" customHeight="1">
      <c r="A97" s="10">
        <v>46129.0</v>
      </c>
      <c r="B97" s="3" t="s">
        <v>61</v>
      </c>
      <c r="E97" s="11"/>
      <c r="F97" s="11"/>
      <c r="G97" s="11"/>
      <c r="H97" s="11"/>
    </row>
    <row r="98" ht="15.75" customHeight="1">
      <c r="A98" s="10">
        <v>46132.0</v>
      </c>
      <c r="B98" s="3" t="s">
        <v>62</v>
      </c>
      <c r="E98" s="11"/>
      <c r="F98" s="11"/>
      <c r="G98" s="11"/>
      <c r="H98" s="11"/>
    </row>
    <row r="99" ht="15.75" customHeight="1">
      <c r="A99" s="10">
        <v>46133.0</v>
      </c>
      <c r="B99" s="3" t="s">
        <v>63</v>
      </c>
      <c r="E99" s="11"/>
      <c r="F99" s="11"/>
      <c r="G99" s="11"/>
      <c r="H99" s="11"/>
    </row>
    <row r="100" ht="15.75" customHeight="1">
      <c r="A100" s="5" t="s">
        <v>70</v>
      </c>
      <c r="B100" s="5"/>
      <c r="C100" s="5"/>
      <c r="D100" s="5"/>
      <c r="E100" s="12"/>
      <c r="F100" s="12"/>
      <c r="G100" s="12"/>
      <c r="H100" s="12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10">
        <v>46134.0</v>
      </c>
      <c r="B101" s="3" t="s">
        <v>64</v>
      </c>
      <c r="E101" s="11"/>
      <c r="F101" s="11"/>
      <c r="G101" s="11"/>
      <c r="H101" s="11"/>
    </row>
    <row r="102" ht="15.75" customHeight="1">
      <c r="A102" s="10">
        <v>46135.0</v>
      </c>
      <c r="B102" s="3" t="s">
        <v>60</v>
      </c>
      <c r="E102" s="11"/>
      <c r="F102" s="11"/>
      <c r="G102" s="11"/>
      <c r="H102" s="11"/>
    </row>
    <row r="103" ht="15.75" customHeight="1">
      <c r="A103" s="10">
        <v>46136.0</v>
      </c>
      <c r="B103" s="3" t="s">
        <v>61</v>
      </c>
      <c r="E103" s="11"/>
      <c r="F103" s="11"/>
      <c r="G103" s="11"/>
      <c r="H103" s="11"/>
    </row>
    <row r="104" ht="15.75" customHeight="1">
      <c r="A104" s="10">
        <v>46139.0</v>
      </c>
      <c r="B104" s="3" t="s">
        <v>62</v>
      </c>
      <c r="E104" s="11"/>
      <c r="F104" s="11"/>
      <c r="G104" s="11"/>
      <c r="H104" s="11"/>
    </row>
    <row r="105" ht="15.75" customHeight="1">
      <c r="A105" s="10">
        <v>46140.0</v>
      </c>
      <c r="B105" s="3" t="s">
        <v>63</v>
      </c>
      <c r="E105" s="11"/>
      <c r="F105" s="11"/>
      <c r="G105" s="11"/>
      <c r="H105" s="11"/>
    </row>
    <row r="106" ht="15.75" customHeight="1">
      <c r="A106" s="5" t="s">
        <v>72</v>
      </c>
      <c r="B106" s="5"/>
      <c r="C106" s="5"/>
      <c r="D106" s="5"/>
      <c r="E106" s="12"/>
      <c r="F106" s="12"/>
      <c r="G106" s="12"/>
      <c r="H106" s="12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10">
        <v>46141.0</v>
      </c>
      <c r="B107" s="3" t="s">
        <v>64</v>
      </c>
      <c r="E107" s="11"/>
      <c r="F107" s="11"/>
      <c r="G107" s="11"/>
      <c r="H107" s="11"/>
    </row>
    <row r="108" ht="15.75" customHeight="1">
      <c r="A108" s="10">
        <v>46142.0</v>
      </c>
      <c r="B108" s="3" t="s">
        <v>60</v>
      </c>
      <c r="E108" s="11"/>
      <c r="F108" s="11"/>
      <c r="G108" s="11"/>
      <c r="H108" s="11"/>
    </row>
    <row r="109" ht="15.75" customHeight="1">
      <c r="A109" s="7" t="s">
        <v>101</v>
      </c>
      <c r="B109" s="7"/>
      <c r="C109" s="7"/>
      <c r="D109" s="7"/>
      <c r="E109" s="13"/>
      <c r="F109" s="13"/>
      <c r="G109" s="13"/>
      <c r="H109" s="13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10">
        <v>46143.0</v>
      </c>
      <c r="B110" s="3" t="s">
        <v>61</v>
      </c>
      <c r="E110" s="11"/>
      <c r="F110" s="11"/>
      <c r="G110" s="11"/>
      <c r="H110" s="11"/>
    </row>
    <row r="111" ht="15.75" customHeight="1">
      <c r="A111" s="10">
        <v>46146.0</v>
      </c>
      <c r="B111" s="3" t="s">
        <v>62</v>
      </c>
      <c r="E111" s="11"/>
      <c r="F111" s="11"/>
      <c r="G111" s="11"/>
      <c r="H111" s="11"/>
    </row>
    <row r="112" ht="15.75" customHeight="1">
      <c r="A112" s="10">
        <v>46147.0</v>
      </c>
      <c r="B112" s="3" t="s">
        <v>63</v>
      </c>
      <c r="E112" s="11"/>
      <c r="F112" s="11"/>
      <c r="G112" s="11"/>
      <c r="H112" s="11"/>
    </row>
    <row r="113" ht="15.75" customHeight="1">
      <c r="A113" s="10">
        <v>46148.0</v>
      </c>
      <c r="B113" s="3" t="s">
        <v>64</v>
      </c>
      <c r="E113" s="11"/>
      <c r="F113" s="11"/>
      <c r="G113" s="11"/>
      <c r="H113" s="11"/>
    </row>
    <row r="114" ht="15.75" customHeight="1">
      <c r="A114" s="10">
        <v>46149.0</v>
      </c>
      <c r="B114" s="3" t="s">
        <v>60</v>
      </c>
      <c r="E114" s="11"/>
      <c r="F114" s="11"/>
      <c r="G114" s="11"/>
      <c r="H114" s="11"/>
    </row>
    <row r="115" ht="15.75" customHeight="1">
      <c r="A115" s="5" t="s">
        <v>66</v>
      </c>
      <c r="B115" s="5"/>
      <c r="C115" s="5"/>
      <c r="D115" s="5"/>
      <c r="E115" s="12"/>
      <c r="F115" s="12"/>
      <c r="G115" s="12"/>
      <c r="H115" s="12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10">
        <v>46150.0</v>
      </c>
      <c r="B116" s="3" t="s">
        <v>61</v>
      </c>
      <c r="E116" s="11"/>
      <c r="F116" s="11"/>
      <c r="G116" s="11"/>
      <c r="H116" s="11"/>
    </row>
    <row r="117" ht="15.75" customHeight="1">
      <c r="A117" s="10">
        <v>46153.0</v>
      </c>
      <c r="B117" s="3" t="s">
        <v>62</v>
      </c>
      <c r="E117" s="11"/>
      <c r="F117" s="11"/>
      <c r="G117" s="11"/>
      <c r="H117" s="11"/>
    </row>
    <row r="118" ht="15.75" customHeight="1">
      <c r="A118" s="10">
        <v>46154.0</v>
      </c>
      <c r="B118" s="3" t="s">
        <v>63</v>
      </c>
      <c r="E118" s="11"/>
      <c r="F118" s="11"/>
      <c r="G118" s="11"/>
      <c r="H118" s="11"/>
    </row>
    <row r="119" ht="15.75" customHeight="1">
      <c r="A119" s="10">
        <v>46155.0</v>
      </c>
      <c r="B119" s="3" t="s">
        <v>64</v>
      </c>
      <c r="E119" s="11"/>
      <c r="F119" s="11"/>
      <c r="G119" s="11"/>
      <c r="H119" s="11"/>
    </row>
    <row r="120" ht="15.75" customHeight="1">
      <c r="A120" s="10">
        <v>46156.0</v>
      </c>
      <c r="B120" s="3" t="s">
        <v>60</v>
      </c>
      <c r="E120" s="11"/>
      <c r="F120" s="11"/>
      <c r="G120" s="11"/>
      <c r="H120" s="11"/>
    </row>
    <row r="121" ht="15.75" customHeight="1">
      <c r="A121" s="5" t="s">
        <v>69</v>
      </c>
      <c r="B121" s="5"/>
      <c r="C121" s="5"/>
      <c r="D121" s="5"/>
      <c r="E121" s="12"/>
      <c r="F121" s="12"/>
      <c r="G121" s="12"/>
      <c r="H121" s="12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10">
        <v>46157.0</v>
      </c>
      <c r="B122" s="3" t="s">
        <v>61</v>
      </c>
      <c r="E122" s="11"/>
      <c r="F122" s="11"/>
      <c r="G122" s="11"/>
      <c r="H122" s="11"/>
    </row>
    <row r="123" ht="15.75" customHeight="1">
      <c r="A123" s="10">
        <v>46160.0</v>
      </c>
      <c r="B123" s="3" t="s">
        <v>62</v>
      </c>
      <c r="E123" s="11"/>
      <c r="F123" s="11"/>
      <c r="G123" s="11"/>
      <c r="H123" s="11"/>
    </row>
    <row r="124" ht="15.75" customHeight="1">
      <c r="A124" s="10">
        <v>46161.0</v>
      </c>
      <c r="B124" s="3" t="s">
        <v>63</v>
      </c>
      <c r="E124" s="11"/>
      <c r="F124" s="11"/>
      <c r="G124" s="11"/>
      <c r="H124" s="11"/>
    </row>
    <row r="125" ht="15.75" customHeight="1">
      <c r="A125" s="10">
        <v>46162.0</v>
      </c>
      <c r="B125" s="3" t="s">
        <v>64</v>
      </c>
      <c r="E125" s="11"/>
      <c r="F125" s="11"/>
      <c r="G125" s="11"/>
      <c r="H125" s="11"/>
    </row>
    <row r="126" ht="15.75" customHeight="1">
      <c r="A126" s="10">
        <v>46163.0</v>
      </c>
      <c r="B126" s="3" t="s">
        <v>60</v>
      </c>
      <c r="E126" s="11"/>
      <c r="F126" s="11"/>
      <c r="G126" s="11"/>
      <c r="H126" s="11"/>
    </row>
    <row r="127" ht="15.75" customHeight="1">
      <c r="A127" s="5" t="s">
        <v>70</v>
      </c>
      <c r="B127" s="5"/>
      <c r="C127" s="5"/>
      <c r="D127" s="5"/>
      <c r="E127" s="12"/>
      <c r="F127" s="12"/>
      <c r="G127" s="12"/>
      <c r="H127" s="12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10">
        <v>46164.0</v>
      </c>
      <c r="B128" s="3" t="s">
        <v>61</v>
      </c>
      <c r="E128" s="11"/>
      <c r="F128" s="11"/>
      <c r="G128" s="11"/>
      <c r="H128" s="11"/>
    </row>
    <row r="129" ht="15.75" customHeight="1">
      <c r="A129" s="10">
        <v>46167.0</v>
      </c>
      <c r="B129" s="3" t="s">
        <v>62</v>
      </c>
      <c r="E129" s="11"/>
      <c r="F129" s="11"/>
      <c r="G129" s="11"/>
      <c r="H129" s="11"/>
    </row>
    <row r="130" ht="15.75" customHeight="1">
      <c r="A130" s="10">
        <v>46168.0</v>
      </c>
      <c r="B130" s="3" t="s">
        <v>63</v>
      </c>
      <c r="E130" s="11"/>
      <c r="F130" s="11"/>
      <c r="G130" s="11"/>
      <c r="H130" s="11"/>
    </row>
    <row r="131" ht="15.75" customHeight="1">
      <c r="A131" s="10">
        <v>46169.0</v>
      </c>
      <c r="B131" s="3" t="s">
        <v>64</v>
      </c>
      <c r="E131" s="11"/>
      <c r="F131" s="11"/>
      <c r="G131" s="11"/>
      <c r="H131" s="11"/>
    </row>
    <row r="132" ht="15.75" customHeight="1">
      <c r="A132" s="10">
        <v>46170.0</v>
      </c>
      <c r="B132" s="3" t="s">
        <v>60</v>
      </c>
      <c r="E132" s="11"/>
      <c r="F132" s="11"/>
      <c r="G132" s="11"/>
      <c r="H132" s="11"/>
    </row>
    <row r="133" ht="15.75" customHeight="1">
      <c r="A133" s="5" t="s">
        <v>72</v>
      </c>
      <c r="B133" s="5"/>
      <c r="C133" s="5"/>
      <c r="D133" s="5"/>
      <c r="E133" s="12"/>
      <c r="F133" s="12"/>
      <c r="G133" s="12"/>
      <c r="H133" s="12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10">
        <v>46171.0</v>
      </c>
      <c r="B134" s="3" t="s">
        <v>61</v>
      </c>
      <c r="E134" s="11"/>
      <c r="F134" s="11"/>
      <c r="G134" s="11"/>
      <c r="H134" s="11"/>
    </row>
    <row r="135" ht="15.75" customHeight="1">
      <c r="A135" s="7" t="s">
        <v>110</v>
      </c>
      <c r="B135" s="7"/>
      <c r="C135" s="7"/>
      <c r="D135" s="7"/>
      <c r="E135" s="13"/>
      <c r="F135" s="13"/>
      <c r="G135" s="13"/>
      <c r="H135" s="13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10">
        <v>46174.0</v>
      </c>
      <c r="B136" s="3" t="s">
        <v>62</v>
      </c>
      <c r="E136" s="11"/>
      <c r="F136" s="11"/>
      <c r="G136" s="11"/>
      <c r="H136" s="11"/>
    </row>
    <row r="137" ht="15.75" customHeight="1">
      <c r="A137" s="10">
        <v>46175.0</v>
      </c>
      <c r="B137" s="3" t="s">
        <v>63</v>
      </c>
      <c r="E137" s="11"/>
      <c r="F137" s="11"/>
      <c r="G137" s="11"/>
      <c r="H137" s="11"/>
    </row>
    <row r="138" ht="15.75" customHeight="1">
      <c r="A138" s="10">
        <v>46176.0</v>
      </c>
      <c r="B138" s="3" t="s">
        <v>64</v>
      </c>
      <c r="E138" s="11"/>
      <c r="F138" s="11"/>
      <c r="G138" s="11"/>
      <c r="H138" s="11"/>
    </row>
    <row r="139" ht="15.75" customHeight="1">
      <c r="A139" s="10">
        <v>46177.0</v>
      </c>
      <c r="B139" s="3" t="s">
        <v>60</v>
      </c>
      <c r="E139" s="11"/>
      <c r="F139" s="11"/>
      <c r="G139" s="11"/>
      <c r="H139" s="11"/>
    </row>
    <row r="140" ht="15.75" customHeight="1">
      <c r="A140" s="10">
        <v>46178.0</v>
      </c>
      <c r="B140" s="3" t="s">
        <v>61</v>
      </c>
      <c r="E140" s="11"/>
      <c r="F140" s="11"/>
      <c r="G140" s="11"/>
      <c r="H140" s="11"/>
    </row>
    <row r="141" ht="15.75" customHeight="1">
      <c r="A141" s="5" t="s">
        <v>66</v>
      </c>
      <c r="B141" s="5"/>
      <c r="C141" s="5"/>
      <c r="D141" s="5"/>
      <c r="E141" s="12"/>
      <c r="F141" s="12"/>
      <c r="G141" s="12"/>
      <c r="H141" s="12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10">
        <v>46181.0</v>
      </c>
      <c r="B142" s="3" t="s">
        <v>62</v>
      </c>
      <c r="E142" s="11"/>
      <c r="F142" s="11"/>
      <c r="G142" s="11"/>
      <c r="H142" s="11"/>
    </row>
    <row r="143" ht="15.75" customHeight="1">
      <c r="A143" s="10">
        <v>46182.0</v>
      </c>
      <c r="B143" s="3" t="s">
        <v>63</v>
      </c>
      <c r="E143" s="11"/>
      <c r="F143" s="11"/>
      <c r="G143" s="11"/>
      <c r="H143" s="11"/>
    </row>
    <row r="144" ht="15.75" customHeight="1">
      <c r="A144" s="10">
        <v>46183.0</v>
      </c>
      <c r="B144" s="3" t="s">
        <v>64</v>
      </c>
      <c r="E144" s="11"/>
      <c r="F144" s="11"/>
      <c r="G144" s="11"/>
      <c r="H144" s="11"/>
    </row>
    <row r="145" ht="15.75" customHeight="1">
      <c r="A145" s="10">
        <v>46184.0</v>
      </c>
      <c r="B145" s="3" t="s">
        <v>60</v>
      </c>
      <c r="E145" s="11"/>
      <c r="F145" s="11"/>
      <c r="G145" s="11"/>
      <c r="H145" s="11"/>
    </row>
    <row r="146" ht="15.75" customHeight="1">
      <c r="A146" s="10">
        <v>46185.0</v>
      </c>
      <c r="B146" s="3" t="s">
        <v>61</v>
      </c>
      <c r="E146" s="11"/>
      <c r="F146" s="11"/>
      <c r="G146" s="11"/>
      <c r="H146" s="11"/>
    </row>
    <row r="147" ht="15.75" customHeight="1">
      <c r="A147" s="5" t="s">
        <v>69</v>
      </c>
      <c r="B147" s="5"/>
      <c r="C147" s="5"/>
      <c r="D147" s="5"/>
      <c r="E147" s="12"/>
      <c r="F147" s="12"/>
      <c r="G147" s="12"/>
      <c r="H147" s="12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10">
        <v>46188.0</v>
      </c>
      <c r="B148" s="3" t="s">
        <v>62</v>
      </c>
      <c r="E148" s="11"/>
      <c r="F148" s="11"/>
      <c r="G148" s="11"/>
      <c r="H148" s="11"/>
    </row>
    <row r="149" ht="15.75" customHeight="1">
      <c r="A149" s="10">
        <v>46189.0</v>
      </c>
      <c r="B149" s="3" t="s">
        <v>63</v>
      </c>
      <c r="E149" s="11"/>
      <c r="F149" s="11"/>
      <c r="G149" s="11"/>
      <c r="H149" s="11"/>
    </row>
    <row r="150" ht="15.75" customHeight="1">
      <c r="A150" s="10">
        <v>46190.0</v>
      </c>
      <c r="B150" s="3" t="s">
        <v>64</v>
      </c>
      <c r="E150" s="11"/>
      <c r="F150" s="11"/>
      <c r="G150" s="11"/>
      <c r="H150" s="11"/>
    </row>
    <row r="151" ht="15.75" customHeight="1">
      <c r="A151" s="10">
        <v>46191.0</v>
      </c>
      <c r="B151" s="3" t="s">
        <v>60</v>
      </c>
      <c r="E151" s="11"/>
      <c r="F151" s="11"/>
      <c r="G151" s="11"/>
      <c r="H151" s="11"/>
    </row>
    <row r="152" ht="15.75" customHeight="1">
      <c r="A152" s="10">
        <v>46192.0</v>
      </c>
      <c r="B152" s="3" t="s">
        <v>61</v>
      </c>
      <c r="E152" s="11"/>
      <c r="F152" s="11"/>
      <c r="G152" s="11"/>
      <c r="H152" s="11"/>
    </row>
    <row r="153" ht="15.75" customHeight="1">
      <c r="A153" s="5" t="s">
        <v>70</v>
      </c>
      <c r="B153" s="5"/>
      <c r="C153" s="5"/>
      <c r="D153" s="5"/>
      <c r="E153" s="12"/>
      <c r="F153" s="12"/>
      <c r="G153" s="12"/>
      <c r="H153" s="12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10">
        <v>46195.0</v>
      </c>
      <c r="B154" s="3" t="s">
        <v>62</v>
      </c>
      <c r="E154" s="11"/>
      <c r="F154" s="11"/>
      <c r="G154" s="11"/>
      <c r="H154" s="11"/>
    </row>
    <row r="155" ht="15.75" customHeight="1">
      <c r="A155" s="10">
        <v>46196.0</v>
      </c>
      <c r="B155" s="3" t="s">
        <v>63</v>
      </c>
      <c r="E155" s="11"/>
      <c r="F155" s="11"/>
      <c r="G155" s="11"/>
      <c r="H155" s="11"/>
    </row>
    <row r="156" ht="15.75" customHeight="1">
      <c r="A156" s="10">
        <v>46197.0</v>
      </c>
      <c r="B156" s="3" t="s">
        <v>64</v>
      </c>
      <c r="E156" s="11"/>
      <c r="F156" s="11"/>
      <c r="G156" s="11"/>
      <c r="H156" s="11"/>
    </row>
    <row r="157" ht="15.75" customHeight="1">
      <c r="A157" s="10">
        <v>46198.0</v>
      </c>
      <c r="B157" s="3" t="s">
        <v>60</v>
      </c>
      <c r="E157" s="11"/>
      <c r="F157" s="11"/>
      <c r="G157" s="11"/>
      <c r="H157" s="11"/>
    </row>
    <row r="158" ht="15.75" customHeight="1">
      <c r="A158" s="10">
        <v>46199.0</v>
      </c>
      <c r="B158" s="3" t="s">
        <v>61</v>
      </c>
      <c r="E158" s="11"/>
      <c r="F158" s="11"/>
      <c r="G158" s="11"/>
      <c r="H158" s="11"/>
    </row>
    <row r="159" ht="15.75" customHeight="1">
      <c r="A159" s="5" t="s">
        <v>72</v>
      </c>
      <c r="B159" s="5"/>
      <c r="C159" s="5"/>
      <c r="D159" s="5"/>
      <c r="E159" s="12"/>
      <c r="F159" s="12"/>
      <c r="G159" s="12"/>
      <c r="H159" s="12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10">
        <v>46202.0</v>
      </c>
      <c r="B160" s="3" t="s">
        <v>62</v>
      </c>
      <c r="E160" s="11"/>
      <c r="F160" s="11"/>
      <c r="G160" s="11"/>
      <c r="H160" s="11"/>
    </row>
    <row r="161" ht="15.75" customHeight="1">
      <c r="A161" s="10">
        <v>46203.0</v>
      </c>
      <c r="B161" s="3" t="s">
        <v>63</v>
      </c>
      <c r="E161" s="11"/>
      <c r="F161" s="11"/>
      <c r="G161" s="11"/>
      <c r="H161" s="11"/>
    </row>
    <row r="162" ht="15.75" customHeight="1">
      <c r="A162" s="7" t="s">
        <v>120</v>
      </c>
      <c r="B162" s="7"/>
      <c r="C162" s="7"/>
      <c r="D162" s="7"/>
      <c r="E162" s="13"/>
      <c r="F162" s="13"/>
      <c r="G162" s="13"/>
      <c r="H162" s="13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10">
        <v>46204.0</v>
      </c>
      <c r="B163" s="3" t="s">
        <v>64</v>
      </c>
      <c r="E163" s="11"/>
      <c r="F163" s="11"/>
      <c r="G163" s="11"/>
      <c r="H163" s="11"/>
    </row>
    <row r="164" ht="15.75" customHeight="1">
      <c r="A164" s="10">
        <v>46205.0</v>
      </c>
      <c r="B164" s="3" t="s">
        <v>60</v>
      </c>
      <c r="E164" s="11"/>
      <c r="F164" s="11"/>
      <c r="G164" s="11"/>
      <c r="H164" s="11"/>
    </row>
    <row r="165" ht="15.75" customHeight="1">
      <c r="A165" s="10">
        <v>46206.0</v>
      </c>
      <c r="B165" s="3" t="s">
        <v>61</v>
      </c>
      <c r="E165" s="11"/>
      <c r="F165" s="11"/>
      <c r="G165" s="11"/>
      <c r="H165" s="11"/>
    </row>
    <row r="166" ht="15.75" customHeight="1">
      <c r="A166" s="10">
        <v>46209.0</v>
      </c>
      <c r="B166" s="3" t="s">
        <v>62</v>
      </c>
      <c r="E166" s="11"/>
      <c r="F166" s="11"/>
      <c r="G166" s="11"/>
      <c r="H166" s="11"/>
    </row>
    <row r="167" ht="15.75" customHeight="1">
      <c r="A167" s="10">
        <v>46210.0</v>
      </c>
      <c r="B167" s="3" t="s">
        <v>63</v>
      </c>
      <c r="E167" s="11"/>
      <c r="F167" s="11"/>
      <c r="G167" s="11"/>
      <c r="H167" s="11"/>
    </row>
    <row r="168" ht="15.75" customHeight="1">
      <c r="A168" s="5" t="s">
        <v>66</v>
      </c>
      <c r="B168" s="5"/>
      <c r="C168" s="5"/>
      <c r="D168" s="5"/>
      <c r="E168" s="12"/>
      <c r="F168" s="12"/>
      <c r="G168" s="12"/>
      <c r="H168" s="12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10">
        <v>46211.0</v>
      </c>
      <c r="B169" s="3" t="s">
        <v>64</v>
      </c>
      <c r="E169" s="11"/>
      <c r="F169" s="11"/>
      <c r="G169" s="11"/>
      <c r="H169" s="11"/>
    </row>
    <row r="170" ht="15.75" customHeight="1">
      <c r="A170" s="10">
        <v>46212.0</v>
      </c>
      <c r="B170" s="3" t="s">
        <v>60</v>
      </c>
      <c r="E170" s="11"/>
      <c r="F170" s="11"/>
      <c r="G170" s="11"/>
      <c r="H170" s="11"/>
    </row>
    <row r="171" ht="15.75" customHeight="1">
      <c r="A171" s="10">
        <v>46213.0</v>
      </c>
      <c r="B171" s="3" t="s">
        <v>61</v>
      </c>
      <c r="E171" s="11"/>
      <c r="F171" s="11"/>
      <c r="G171" s="11"/>
      <c r="H171" s="11"/>
    </row>
    <row r="172" ht="15.75" customHeight="1">
      <c r="A172" s="10">
        <v>46216.0</v>
      </c>
      <c r="B172" s="3" t="s">
        <v>62</v>
      </c>
      <c r="E172" s="11"/>
      <c r="F172" s="11"/>
      <c r="G172" s="11"/>
      <c r="H172" s="11"/>
    </row>
    <row r="173" ht="15.75" customHeight="1">
      <c r="A173" s="10">
        <v>46217.0</v>
      </c>
      <c r="B173" s="3" t="s">
        <v>63</v>
      </c>
      <c r="E173" s="11"/>
      <c r="F173" s="11"/>
      <c r="G173" s="11"/>
      <c r="H173" s="11"/>
    </row>
    <row r="174" ht="15.75" customHeight="1">
      <c r="A174" s="5" t="s">
        <v>69</v>
      </c>
      <c r="B174" s="5"/>
      <c r="C174" s="5"/>
      <c r="D174" s="5"/>
      <c r="E174" s="12"/>
      <c r="F174" s="12"/>
      <c r="G174" s="12"/>
      <c r="H174" s="12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10">
        <v>46218.0</v>
      </c>
      <c r="B175" s="3" t="s">
        <v>64</v>
      </c>
      <c r="E175" s="11"/>
      <c r="F175" s="11"/>
      <c r="G175" s="11"/>
      <c r="H175" s="11"/>
    </row>
    <row r="176" ht="15.75" customHeight="1">
      <c r="A176" s="10">
        <v>46219.0</v>
      </c>
      <c r="B176" s="3" t="s">
        <v>60</v>
      </c>
      <c r="E176" s="11"/>
      <c r="F176" s="11"/>
      <c r="G176" s="11"/>
      <c r="H176" s="11"/>
    </row>
    <row r="177" ht="15.75" customHeight="1">
      <c r="A177" s="10">
        <v>46220.0</v>
      </c>
      <c r="B177" s="3" t="s">
        <v>61</v>
      </c>
      <c r="E177" s="11"/>
      <c r="F177" s="11"/>
      <c r="G177" s="11"/>
      <c r="H177" s="11"/>
    </row>
    <row r="178" ht="15.75" customHeight="1">
      <c r="A178" s="10">
        <v>46223.0</v>
      </c>
      <c r="B178" s="3" t="s">
        <v>62</v>
      </c>
      <c r="E178" s="11"/>
      <c r="F178" s="11"/>
      <c r="G178" s="11"/>
      <c r="H178" s="11"/>
    </row>
    <row r="179" ht="15.75" customHeight="1">
      <c r="A179" s="10">
        <v>46224.0</v>
      </c>
      <c r="B179" s="3" t="s">
        <v>63</v>
      </c>
      <c r="E179" s="11"/>
      <c r="F179" s="11"/>
      <c r="G179" s="11"/>
      <c r="H179" s="11"/>
    </row>
    <row r="180" ht="15.75" customHeight="1">
      <c r="A180" s="5" t="s">
        <v>70</v>
      </c>
      <c r="B180" s="5"/>
      <c r="C180" s="5"/>
      <c r="D180" s="5"/>
      <c r="E180" s="12"/>
      <c r="F180" s="12"/>
      <c r="G180" s="12"/>
      <c r="H180" s="12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10">
        <v>46225.0</v>
      </c>
      <c r="B181" s="3" t="s">
        <v>64</v>
      </c>
      <c r="E181" s="11"/>
      <c r="F181" s="11"/>
      <c r="G181" s="11"/>
      <c r="H181" s="11"/>
    </row>
    <row r="182" ht="15.75" customHeight="1">
      <c r="A182" s="10">
        <v>46226.0</v>
      </c>
      <c r="B182" s="3" t="s">
        <v>60</v>
      </c>
      <c r="E182" s="11"/>
      <c r="F182" s="11"/>
      <c r="G182" s="11"/>
      <c r="H182" s="11"/>
    </row>
    <row r="183" ht="15.75" customHeight="1">
      <c r="A183" s="10">
        <v>46227.0</v>
      </c>
      <c r="B183" s="3" t="s">
        <v>61</v>
      </c>
      <c r="E183" s="11"/>
      <c r="F183" s="11"/>
      <c r="G183" s="11"/>
      <c r="H183" s="11"/>
    </row>
    <row r="184" ht="15.75" customHeight="1">
      <c r="A184" s="10">
        <v>46230.0</v>
      </c>
      <c r="B184" s="3" t="s">
        <v>62</v>
      </c>
      <c r="C184" s="3">
        <v>123.0</v>
      </c>
      <c r="D184" s="3">
        <v>87.0</v>
      </c>
      <c r="E184" s="11">
        <v>54.0</v>
      </c>
      <c r="F184" s="11">
        <v>38.0</v>
      </c>
      <c r="G184" s="11">
        <v>2.0</v>
      </c>
      <c r="H184" s="11">
        <v>12.0</v>
      </c>
    </row>
    <row r="185" ht="15.75" customHeight="1">
      <c r="A185" s="10">
        <v>46231.0</v>
      </c>
      <c r="B185" s="3" t="s">
        <v>63</v>
      </c>
      <c r="E185" s="11"/>
      <c r="F185" s="11"/>
      <c r="G185" s="11"/>
      <c r="H185" s="11"/>
    </row>
    <row r="186" ht="15.75" customHeight="1">
      <c r="A186" s="5" t="s">
        <v>72</v>
      </c>
      <c r="B186" s="5"/>
      <c r="C186" s="5"/>
      <c r="D186" s="5"/>
      <c r="E186" s="12"/>
      <c r="F186" s="12"/>
      <c r="G186" s="12"/>
      <c r="H186" s="12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10">
        <v>46232.0</v>
      </c>
      <c r="B187" s="3" t="s">
        <v>64</v>
      </c>
      <c r="E187" s="11"/>
      <c r="F187" s="11"/>
      <c r="G187" s="11"/>
      <c r="H187" s="11"/>
    </row>
    <row r="188" ht="15.75" customHeight="1">
      <c r="A188" s="10">
        <v>46233.0</v>
      </c>
      <c r="B188" s="3" t="s">
        <v>60</v>
      </c>
      <c r="E188" s="11"/>
      <c r="F188" s="11"/>
      <c r="G188" s="11"/>
      <c r="H188" s="11"/>
    </row>
    <row r="189" ht="15.75" customHeight="1">
      <c r="A189" s="10">
        <v>46234.0</v>
      </c>
      <c r="B189" s="3" t="s">
        <v>61</v>
      </c>
      <c r="E189" s="11"/>
      <c r="F189" s="11"/>
      <c r="G189" s="11"/>
      <c r="H189" s="11"/>
    </row>
    <row r="190" ht="15.75" customHeight="1">
      <c r="A190" s="7" t="s">
        <v>121</v>
      </c>
      <c r="B190" s="7"/>
      <c r="C190" s="7"/>
      <c r="D190" s="7"/>
      <c r="E190" s="13"/>
      <c r="F190" s="13"/>
      <c r="G190" s="13"/>
      <c r="H190" s="13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5.75" customHeight="1">
      <c r="A191" s="10">
        <v>46237.0</v>
      </c>
      <c r="B191" s="3" t="s">
        <v>62</v>
      </c>
      <c r="E191" s="11"/>
      <c r="F191" s="11"/>
      <c r="G191" s="11"/>
      <c r="H191" s="11"/>
    </row>
    <row r="192" ht="15.75" customHeight="1">
      <c r="A192" s="10">
        <v>46238.0</v>
      </c>
      <c r="B192" s="3" t="s">
        <v>63</v>
      </c>
      <c r="E192" s="11"/>
      <c r="F192" s="11"/>
      <c r="G192" s="11"/>
      <c r="H192" s="11"/>
    </row>
    <row r="193" ht="15.75" customHeight="1">
      <c r="A193" s="10">
        <v>46239.0</v>
      </c>
      <c r="B193" s="3" t="s">
        <v>64</v>
      </c>
      <c r="E193" s="11"/>
      <c r="F193" s="11"/>
      <c r="G193" s="11"/>
      <c r="H193" s="11"/>
    </row>
    <row r="194" ht="15.75" customHeight="1">
      <c r="A194" s="10">
        <v>46240.0</v>
      </c>
      <c r="B194" s="3" t="s">
        <v>60</v>
      </c>
      <c r="E194" s="11"/>
      <c r="F194" s="11"/>
      <c r="G194" s="11"/>
      <c r="H194" s="11"/>
    </row>
    <row r="195" ht="15.75" customHeight="1">
      <c r="A195" s="10">
        <v>46241.0</v>
      </c>
      <c r="B195" s="3" t="s">
        <v>61</v>
      </c>
      <c r="E195" s="11"/>
      <c r="F195" s="11"/>
      <c r="G195" s="11"/>
      <c r="H195" s="11"/>
    </row>
    <row r="196" ht="15.75" customHeight="1">
      <c r="A196" s="5" t="s">
        <v>66</v>
      </c>
      <c r="B196" s="5"/>
      <c r="C196" s="5"/>
      <c r="D196" s="5"/>
      <c r="E196" s="12"/>
      <c r="F196" s="12"/>
      <c r="G196" s="12"/>
      <c r="H196" s="12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10">
        <v>46244.0</v>
      </c>
      <c r="B197" s="3" t="s">
        <v>62</v>
      </c>
      <c r="E197" s="11"/>
      <c r="F197" s="11"/>
      <c r="G197" s="11"/>
      <c r="H197" s="11"/>
    </row>
    <row r="198" ht="15.75" customHeight="1">
      <c r="A198" s="10">
        <v>46245.0</v>
      </c>
      <c r="B198" s="3" t="s">
        <v>63</v>
      </c>
      <c r="E198" s="11"/>
      <c r="F198" s="11"/>
      <c r="G198" s="11"/>
      <c r="H198" s="11"/>
    </row>
    <row r="199" ht="15.75" customHeight="1">
      <c r="A199" s="10">
        <v>46246.0</v>
      </c>
      <c r="B199" s="3" t="s">
        <v>64</v>
      </c>
      <c r="E199" s="11"/>
      <c r="F199" s="11"/>
      <c r="G199" s="11"/>
      <c r="H199" s="11"/>
    </row>
    <row r="200" ht="15.75" customHeight="1">
      <c r="A200" s="10">
        <v>46247.0</v>
      </c>
      <c r="B200" s="3" t="s">
        <v>60</v>
      </c>
      <c r="E200" s="11"/>
      <c r="F200" s="11"/>
      <c r="G200" s="11"/>
      <c r="H200" s="11"/>
    </row>
    <row r="201" ht="15.75" customHeight="1">
      <c r="A201" s="10">
        <v>46248.0</v>
      </c>
      <c r="B201" s="3" t="s">
        <v>61</v>
      </c>
      <c r="E201" s="11"/>
      <c r="F201" s="11"/>
      <c r="G201" s="11"/>
      <c r="H201" s="11"/>
    </row>
    <row r="202" ht="15.75" customHeight="1">
      <c r="A202" s="5" t="s">
        <v>69</v>
      </c>
      <c r="B202" s="5"/>
      <c r="C202" s="5"/>
      <c r="D202" s="5"/>
      <c r="E202" s="12"/>
      <c r="F202" s="12"/>
      <c r="G202" s="12"/>
      <c r="H202" s="12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10">
        <v>46251.0</v>
      </c>
      <c r="B203" s="3" t="s">
        <v>62</v>
      </c>
      <c r="E203" s="11"/>
      <c r="F203" s="11"/>
      <c r="G203" s="11"/>
      <c r="H203" s="11"/>
    </row>
    <row r="204" ht="15.75" customHeight="1">
      <c r="A204" s="10">
        <v>46252.0</v>
      </c>
      <c r="B204" s="3" t="s">
        <v>63</v>
      </c>
      <c r="E204" s="11"/>
      <c r="F204" s="11"/>
      <c r="G204" s="11"/>
      <c r="H204" s="11"/>
    </row>
    <row r="205" ht="15.75" customHeight="1">
      <c r="A205" s="10">
        <v>46253.0</v>
      </c>
      <c r="B205" s="3" t="s">
        <v>64</v>
      </c>
      <c r="E205" s="11"/>
      <c r="F205" s="11"/>
      <c r="G205" s="11"/>
      <c r="H205" s="11"/>
    </row>
    <row r="206" ht="15.75" customHeight="1">
      <c r="A206" s="10">
        <v>46254.0</v>
      </c>
      <c r="B206" s="3" t="s">
        <v>60</v>
      </c>
      <c r="E206" s="11"/>
      <c r="F206" s="11"/>
      <c r="G206" s="11"/>
      <c r="H206" s="11"/>
    </row>
    <row r="207" ht="15.75" customHeight="1">
      <c r="A207" s="10">
        <v>46255.0</v>
      </c>
      <c r="B207" s="3" t="s">
        <v>61</v>
      </c>
      <c r="E207" s="11"/>
      <c r="F207" s="11"/>
      <c r="G207" s="11"/>
      <c r="H207" s="11"/>
    </row>
    <row r="208" ht="15.75" customHeight="1">
      <c r="A208" s="5" t="s">
        <v>70</v>
      </c>
      <c r="B208" s="5"/>
      <c r="C208" s="5"/>
      <c r="D208" s="5"/>
      <c r="E208" s="12"/>
      <c r="F208" s="12"/>
      <c r="G208" s="12"/>
      <c r="H208" s="12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10">
        <v>46258.0</v>
      </c>
      <c r="B209" s="3" t="s">
        <v>62</v>
      </c>
      <c r="E209" s="11"/>
      <c r="F209" s="11"/>
      <c r="G209" s="11"/>
      <c r="H209" s="11"/>
    </row>
    <row r="210" ht="15.75" customHeight="1">
      <c r="A210" s="10">
        <v>46259.0</v>
      </c>
      <c r="B210" s="3" t="s">
        <v>63</v>
      </c>
      <c r="E210" s="11"/>
      <c r="F210" s="11"/>
      <c r="G210" s="11"/>
      <c r="H210" s="11"/>
    </row>
    <row r="211" ht="15.75" customHeight="1">
      <c r="A211" s="10">
        <v>46260.0</v>
      </c>
      <c r="B211" s="3" t="s">
        <v>64</v>
      </c>
      <c r="E211" s="11"/>
      <c r="F211" s="11"/>
      <c r="G211" s="11"/>
      <c r="H211" s="11"/>
    </row>
    <row r="212" ht="15.75" customHeight="1">
      <c r="A212" s="10">
        <v>46261.0</v>
      </c>
      <c r="B212" s="3" t="s">
        <v>60</v>
      </c>
      <c r="E212" s="11"/>
      <c r="F212" s="11"/>
      <c r="G212" s="11"/>
      <c r="H212" s="11"/>
    </row>
    <row r="213" ht="15.75" customHeight="1">
      <c r="A213" s="10">
        <v>46262.0</v>
      </c>
      <c r="B213" s="3" t="s">
        <v>61</v>
      </c>
      <c r="E213" s="11"/>
      <c r="F213" s="11"/>
      <c r="G213" s="11"/>
      <c r="H213" s="11"/>
    </row>
    <row r="214" ht="15.75" customHeight="1">
      <c r="A214" s="5" t="s">
        <v>72</v>
      </c>
      <c r="B214" s="5"/>
      <c r="C214" s="5"/>
      <c r="D214" s="5"/>
      <c r="E214" s="12"/>
      <c r="F214" s="12"/>
      <c r="G214" s="12"/>
      <c r="H214" s="12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10">
        <v>46265.0</v>
      </c>
      <c r="B215" s="3" t="s">
        <v>62</v>
      </c>
      <c r="E215" s="11"/>
      <c r="F215" s="11"/>
      <c r="G215" s="11"/>
      <c r="H215" s="11"/>
    </row>
    <row r="216" ht="15.75" customHeight="1">
      <c r="A216" s="7" t="s">
        <v>122</v>
      </c>
      <c r="B216" s="7"/>
      <c r="C216" s="7"/>
      <c r="D216" s="7"/>
      <c r="E216" s="13"/>
      <c r="F216" s="13"/>
      <c r="G216" s="13"/>
      <c r="H216" s="13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10">
        <v>46266.0</v>
      </c>
      <c r="B217" s="3" t="s">
        <v>63</v>
      </c>
      <c r="E217" s="11"/>
      <c r="F217" s="11"/>
      <c r="G217" s="11"/>
      <c r="H217" s="11"/>
    </row>
    <row r="218" ht="15.75" customHeight="1">
      <c r="A218" s="10">
        <v>46267.0</v>
      </c>
      <c r="B218" s="3" t="s">
        <v>64</v>
      </c>
      <c r="E218" s="11"/>
      <c r="F218" s="11"/>
      <c r="G218" s="11"/>
      <c r="H218" s="11"/>
    </row>
    <row r="219" ht="15.75" customHeight="1">
      <c r="A219" s="10">
        <v>46268.0</v>
      </c>
      <c r="B219" s="3" t="s">
        <v>60</v>
      </c>
      <c r="E219" s="11"/>
      <c r="F219" s="11"/>
      <c r="G219" s="11"/>
      <c r="H219" s="11"/>
    </row>
    <row r="220" ht="15.75" customHeight="1">
      <c r="A220" s="10">
        <v>46269.0</v>
      </c>
      <c r="B220" s="3" t="s">
        <v>61</v>
      </c>
      <c r="E220" s="11"/>
      <c r="F220" s="11"/>
      <c r="G220" s="11"/>
      <c r="H220" s="11"/>
    </row>
    <row r="221" ht="15.75" customHeight="1">
      <c r="A221" s="10">
        <v>46272.0</v>
      </c>
      <c r="B221" s="3" t="s">
        <v>62</v>
      </c>
      <c r="E221" s="11"/>
      <c r="F221" s="11"/>
      <c r="G221" s="11"/>
      <c r="H221" s="11"/>
    </row>
    <row r="222" ht="15.75" customHeight="1">
      <c r="A222" s="5" t="s">
        <v>66</v>
      </c>
      <c r="B222" s="5"/>
      <c r="C222" s="5"/>
      <c r="D222" s="5"/>
      <c r="E222" s="12"/>
      <c r="F222" s="12"/>
      <c r="G222" s="12"/>
      <c r="H222" s="12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10">
        <v>46273.0</v>
      </c>
      <c r="B223" s="3" t="s">
        <v>63</v>
      </c>
      <c r="E223" s="11"/>
      <c r="F223" s="11"/>
      <c r="G223" s="11"/>
      <c r="H223" s="11"/>
    </row>
    <row r="224" ht="15.75" customHeight="1">
      <c r="A224" s="10">
        <v>46274.0</v>
      </c>
      <c r="B224" s="3" t="s">
        <v>64</v>
      </c>
      <c r="E224" s="11"/>
      <c r="F224" s="11"/>
      <c r="G224" s="11"/>
      <c r="H224" s="11"/>
    </row>
    <row r="225" ht="15.75" customHeight="1">
      <c r="A225" s="10">
        <v>46275.0</v>
      </c>
      <c r="B225" s="3" t="s">
        <v>60</v>
      </c>
      <c r="E225" s="11"/>
      <c r="F225" s="11"/>
      <c r="G225" s="11"/>
      <c r="H225" s="11"/>
    </row>
    <row r="226" ht="15.75" customHeight="1">
      <c r="A226" s="10">
        <v>46276.0</v>
      </c>
      <c r="B226" s="3" t="s">
        <v>61</v>
      </c>
      <c r="E226" s="11"/>
      <c r="F226" s="11"/>
      <c r="G226" s="11"/>
      <c r="H226" s="11"/>
    </row>
    <row r="227" ht="15.75" customHeight="1">
      <c r="A227" s="10">
        <v>46279.0</v>
      </c>
      <c r="B227" s="3" t="s">
        <v>62</v>
      </c>
      <c r="E227" s="11"/>
      <c r="F227" s="11"/>
      <c r="G227" s="11"/>
      <c r="H227" s="11"/>
    </row>
    <row r="228" ht="15.75" customHeight="1">
      <c r="A228" s="5" t="s">
        <v>69</v>
      </c>
      <c r="B228" s="5"/>
      <c r="C228" s="5"/>
      <c r="D228" s="5"/>
      <c r="E228" s="12"/>
      <c r="F228" s="12"/>
      <c r="G228" s="12"/>
      <c r="H228" s="12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10">
        <v>46280.0</v>
      </c>
      <c r="B229" s="3" t="s">
        <v>63</v>
      </c>
      <c r="E229" s="11"/>
      <c r="F229" s="11"/>
      <c r="G229" s="11"/>
      <c r="H229" s="11"/>
    </row>
    <row r="230" ht="15.75" customHeight="1">
      <c r="A230" s="10">
        <v>46281.0</v>
      </c>
      <c r="B230" s="3" t="s">
        <v>64</v>
      </c>
      <c r="E230" s="11"/>
      <c r="F230" s="11"/>
      <c r="G230" s="11"/>
      <c r="H230" s="11"/>
    </row>
    <row r="231" ht="15.75" customHeight="1">
      <c r="A231" s="10">
        <v>46282.0</v>
      </c>
      <c r="B231" s="3" t="s">
        <v>60</v>
      </c>
      <c r="E231" s="11"/>
      <c r="F231" s="11"/>
      <c r="G231" s="11"/>
      <c r="H231" s="11"/>
    </row>
    <row r="232" ht="15.75" customHeight="1">
      <c r="A232" s="10">
        <v>46283.0</v>
      </c>
      <c r="B232" s="3" t="s">
        <v>61</v>
      </c>
      <c r="E232" s="11"/>
      <c r="F232" s="11"/>
      <c r="G232" s="11"/>
      <c r="H232" s="11"/>
    </row>
    <row r="233" ht="15.75" customHeight="1">
      <c r="A233" s="10">
        <v>46286.0</v>
      </c>
      <c r="B233" s="3" t="s">
        <v>62</v>
      </c>
      <c r="E233" s="11"/>
      <c r="F233" s="11"/>
      <c r="G233" s="11"/>
      <c r="H233" s="11"/>
    </row>
    <row r="234" ht="15.75" customHeight="1">
      <c r="A234" s="5" t="s">
        <v>70</v>
      </c>
      <c r="B234" s="5"/>
      <c r="C234" s="5"/>
      <c r="D234" s="5"/>
      <c r="E234" s="12"/>
      <c r="F234" s="12"/>
      <c r="G234" s="12"/>
      <c r="H234" s="12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10">
        <v>46287.0</v>
      </c>
      <c r="B235" s="3" t="s">
        <v>63</v>
      </c>
      <c r="E235" s="11"/>
      <c r="F235" s="11"/>
      <c r="G235" s="11"/>
      <c r="H235" s="11"/>
    </row>
    <row r="236" ht="15.75" customHeight="1">
      <c r="A236" s="10">
        <v>46288.0</v>
      </c>
      <c r="B236" s="3" t="s">
        <v>64</v>
      </c>
      <c r="E236" s="11"/>
      <c r="F236" s="11"/>
      <c r="G236" s="11"/>
      <c r="H236" s="11"/>
    </row>
    <row r="237" ht="15.75" customHeight="1">
      <c r="A237" s="10">
        <v>46289.0</v>
      </c>
      <c r="B237" s="3" t="s">
        <v>60</v>
      </c>
      <c r="E237" s="11"/>
      <c r="F237" s="11"/>
      <c r="G237" s="11"/>
      <c r="H237" s="11"/>
    </row>
    <row r="238" ht="15.75" customHeight="1">
      <c r="A238" s="10">
        <v>46290.0</v>
      </c>
      <c r="B238" s="3" t="s">
        <v>61</v>
      </c>
      <c r="E238" s="11"/>
      <c r="F238" s="11"/>
      <c r="G238" s="11"/>
      <c r="H238" s="11"/>
    </row>
    <row r="239" ht="15.75" customHeight="1">
      <c r="A239" s="10">
        <v>46293.0</v>
      </c>
      <c r="B239" s="3" t="s">
        <v>62</v>
      </c>
      <c r="E239" s="11"/>
      <c r="F239" s="11"/>
      <c r="G239" s="11"/>
      <c r="H239" s="11"/>
    </row>
    <row r="240" ht="15.75" customHeight="1">
      <c r="A240" s="5" t="s">
        <v>72</v>
      </c>
      <c r="B240" s="5"/>
      <c r="C240" s="5"/>
      <c r="D240" s="5"/>
      <c r="E240" s="12"/>
      <c r="F240" s="12"/>
      <c r="G240" s="12"/>
      <c r="H240" s="12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10">
        <v>46294.0</v>
      </c>
      <c r="B241" s="3" t="s">
        <v>63</v>
      </c>
      <c r="E241" s="11"/>
      <c r="F241" s="11"/>
      <c r="G241" s="11"/>
      <c r="H241" s="11"/>
    </row>
    <row r="242" ht="15.75" customHeight="1">
      <c r="A242" s="10">
        <v>46295.0</v>
      </c>
      <c r="B242" s="3" t="s">
        <v>64</v>
      </c>
      <c r="E242" s="11"/>
      <c r="F242" s="11"/>
      <c r="G242" s="11"/>
      <c r="H242" s="11"/>
    </row>
    <row r="243" ht="15.75" customHeight="1">
      <c r="A243" s="7" t="s">
        <v>123</v>
      </c>
      <c r="B243" s="7"/>
      <c r="C243" s="7"/>
      <c r="D243" s="7"/>
      <c r="E243" s="13"/>
      <c r="F243" s="13"/>
      <c r="G243" s="13"/>
      <c r="H243" s="13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5.75" customHeight="1">
      <c r="A244" s="10">
        <v>46296.0</v>
      </c>
      <c r="B244" s="3" t="s">
        <v>60</v>
      </c>
      <c r="E244" s="11"/>
      <c r="F244" s="11"/>
      <c r="G244" s="11"/>
      <c r="H244" s="11"/>
    </row>
    <row r="245" ht="15.75" customHeight="1">
      <c r="A245" s="10">
        <v>46297.0</v>
      </c>
      <c r="B245" s="3" t="s">
        <v>61</v>
      </c>
      <c r="E245" s="11"/>
      <c r="F245" s="11"/>
      <c r="G245" s="11"/>
      <c r="H245" s="11"/>
    </row>
    <row r="246" ht="15.75" customHeight="1">
      <c r="A246" s="10">
        <v>46300.0</v>
      </c>
      <c r="B246" s="3" t="s">
        <v>62</v>
      </c>
      <c r="E246" s="11"/>
      <c r="F246" s="11"/>
      <c r="G246" s="11"/>
      <c r="H246" s="11"/>
    </row>
    <row r="247" ht="15.75" customHeight="1">
      <c r="A247" s="10">
        <v>46301.0</v>
      </c>
      <c r="B247" s="3" t="s">
        <v>63</v>
      </c>
      <c r="E247" s="11"/>
      <c r="F247" s="11"/>
      <c r="G247" s="11"/>
      <c r="H247" s="11"/>
    </row>
    <row r="248" ht="15.75" customHeight="1">
      <c r="A248" s="10">
        <v>46302.0</v>
      </c>
      <c r="B248" s="3" t="s">
        <v>64</v>
      </c>
      <c r="E248" s="11"/>
      <c r="F248" s="11"/>
      <c r="G248" s="11"/>
      <c r="H248" s="11"/>
    </row>
    <row r="249" ht="15.75" customHeight="1">
      <c r="A249" s="5" t="s">
        <v>66</v>
      </c>
      <c r="B249" s="5"/>
      <c r="C249" s="5"/>
      <c r="D249" s="5"/>
      <c r="E249" s="12"/>
      <c r="F249" s="12"/>
      <c r="G249" s="12"/>
      <c r="H249" s="12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10">
        <v>46303.0</v>
      </c>
      <c r="B250" s="3" t="s">
        <v>60</v>
      </c>
      <c r="E250" s="11"/>
      <c r="F250" s="11"/>
      <c r="G250" s="11"/>
      <c r="H250" s="11"/>
    </row>
    <row r="251" ht="15.75" customHeight="1">
      <c r="A251" s="10">
        <v>46304.0</v>
      </c>
      <c r="B251" s="3" t="s">
        <v>61</v>
      </c>
      <c r="E251" s="11"/>
      <c r="F251" s="11"/>
      <c r="G251" s="11"/>
      <c r="H251" s="11"/>
    </row>
    <row r="252" ht="15.75" customHeight="1">
      <c r="A252" s="15">
        <v>46307.0</v>
      </c>
      <c r="B252" s="3" t="s">
        <v>62</v>
      </c>
      <c r="E252" s="11"/>
      <c r="F252" s="11"/>
      <c r="G252" s="11"/>
      <c r="H252" s="11"/>
    </row>
    <row r="253" ht="15.75" customHeight="1">
      <c r="A253" s="15">
        <v>46308.0</v>
      </c>
      <c r="B253" s="3" t="s">
        <v>63</v>
      </c>
      <c r="E253" s="11"/>
      <c r="F253" s="11"/>
      <c r="G253" s="11"/>
      <c r="H253" s="11"/>
    </row>
    <row r="254" ht="15.75" customHeight="1">
      <c r="A254" s="15">
        <v>46309.0</v>
      </c>
      <c r="B254" s="3" t="s">
        <v>64</v>
      </c>
      <c r="E254" s="11"/>
      <c r="F254" s="11"/>
      <c r="G254" s="11"/>
      <c r="H254" s="11"/>
    </row>
    <row r="255" ht="15.75" customHeight="1">
      <c r="A255" s="5" t="s">
        <v>69</v>
      </c>
      <c r="B255" s="5"/>
      <c r="C255" s="5"/>
      <c r="D255" s="5"/>
      <c r="E255" s="12"/>
      <c r="F255" s="12"/>
      <c r="G255" s="12"/>
      <c r="H255" s="12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15">
        <v>46310.0</v>
      </c>
      <c r="B256" s="3" t="s">
        <v>60</v>
      </c>
      <c r="E256" s="11"/>
      <c r="F256" s="11"/>
      <c r="G256" s="11"/>
      <c r="H256" s="11"/>
    </row>
    <row r="257" ht="15.75" customHeight="1">
      <c r="A257" s="15">
        <v>46311.0</v>
      </c>
      <c r="B257" s="3" t="s">
        <v>61</v>
      </c>
      <c r="E257" s="11"/>
      <c r="F257" s="11"/>
      <c r="G257" s="11"/>
      <c r="H257" s="11"/>
    </row>
    <row r="258" ht="15.75" customHeight="1">
      <c r="A258" s="15">
        <v>46314.0</v>
      </c>
      <c r="B258" s="3" t="s">
        <v>62</v>
      </c>
      <c r="E258" s="11"/>
      <c r="F258" s="11"/>
      <c r="G258" s="11"/>
      <c r="H258" s="11"/>
    </row>
    <row r="259" ht="15.75" customHeight="1">
      <c r="A259" s="15">
        <v>46315.0</v>
      </c>
      <c r="B259" s="3" t="s">
        <v>63</v>
      </c>
      <c r="E259" s="11"/>
      <c r="F259" s="11"/>
      <c r="G259" s="11"/>
      <c r="H259" s="11"/>
    </row>
    <row r="260" ht="15.75" customHeight="1">
      <c r="A260" s="15">
        <v>46316.0</v>
      </c>
      <c r="B260" s="3" t="s">
        <v>64</v>
      </c>
      <c r="E260" s="11"/>
      <c r="F260" s="11"/>
      <c r="G260" s="11"/>
      <c r="H260" s="11"/>
    </row>
    <row r="261" ht="15.75" customHeight="1">
      <c r="A261" s="5" t="s">
        <v>70</v>
      </c>
      <c r="B261" s="5"/>
      <c r="C261" s="5"/>
      <c r="D261" s="5"/>
      <c r="E261" s="12"/>
      <c r="F261" s="12"/>
      <c r="G261" s="12"/>
      <c r="H261" s="12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15">
        <v>46317.0</v>
      </c>
      <c r="B262" s="3" t="s">
        <v>60</v>
      </c>
      <c r="E262" s="11"/>
      <c r="F262" s="11"/>
      <c r="G262" s="11"/>
      <c r="H262" s="11"/>
    </row>
    <row r="263" ht="15.75" customHeight="1">
      <c r="A263" s="15">
        <v>46318.0</v>
      </c>
      <c r="B263" s="3" t="s">
        <v>61</v>
      </c>
      <c r="E263" s="11"/>
      <c r="F263" s="11"/>
      <c r="G263" s="11"/>
      <c r="H263" s="11"/>
    </row>
    <row r="264" ht="15.75" customHeight="1">
      <c r="A264" s="15">
        <v>46321.0</v>
      </c>
      <c r="B264" s="3" t="s">
        <v>62</v>
      </c>
      <c r="E264" s="11"/>
      <c r="F264" s="11"/>
      <c r="G264" s="11"/>
      <c r="H264" s="11"/>
    </row>
    <row r="265" ht="15.75" customHeight="1">
      <c r="A265" s="15">
        <v>46322.0</v>
      </c>
      <c r="B265" s="3" t="s">
        <v>63</v>
      </c>
      <c r="E265" s="11"/>
      <c r="F265" s="11"/>
      <c r="G265" s="11"/>
      <c r="H265" s="11"/>
    </row>
    <row r="266" ht="15.75" customHeight="1">
      <c r="A266" s="15">
        <v>46323.0</v>
      </c>
      <c r="B266" s="3" t="s">
        <v>64</v>
      </c>
      <c r="E266" s="11"/>
      <c r="F266" s="11"/>
      <c r="G266" s="11"/>
      <c r="H266" s="11"/>
    </row>
    <row r="267" ht="15.75" customHeight="1">
      <c r="A267" s="5" t="s">
        <v>72</v>
      </c>
      <c r="B267" s="5"/>
      <c r="C267" s="5"/>
      <c r="D267" s="5"/>
      <c r="E267" s="12"/>
      <c r="F267" s="12"/>
      <c r="G267" s="12"/>
      <c r="H267" s="12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15">
        <v>46324.0</v>
      </c>
      <c r="B268" s="3" t="s">
        <v>60</v>
      </c>
      <c r="E268" s="11"/>
      <c r="F268" s="11"/>
      <c r="G268" s="11"/>
      <c r="H268" s="11"/>
    </row>
    <row r="269" ht="15.75" customHeight="1">
      <c r="A269" s="15">
        <v>46325.0</v>
      </c>
      <c r="B269" s="3" t="s">
        <v>61</v>
      </c>
      <c r="E269" s="11"/>
      <c r="F269" s="11"/>
      <c r="G269" s="11"/>
      <c r="H269" s="11"/>
    </row>
    <row r="270" ht="15.75" customHeight="1">
      <c r="A270" s="7" t="s">
        <v>124</v>
      </c>
      <c r="B270" s="7"/>
      <c r="C270" s="7"/>
      <c r="D270" s="7"/>
      <c r="E270" s="13"/>
      <c r="F270" s="13"/>
      <c r="G270" s="13"/>
      <c r="H270" s="13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5.75" customHeight="1">
      <c r="A271" s="10">
        <v>46328.0</v>
      </c>
      <c r="B271" s="3" t="s">
        <v>62</v>
      </c>
      <c r="E271" s="11"/>
      <c r="F271" s="11"/>
      <c r="G271" s="11"/>
      <c r="H271" s="11"/>
    </row>
    <row r="272" ht="15.75" customHeight="1">
      <c r="A272" s="10">
        <v>46329.0</v>
      </c>
      <c r="B272" s="3" t="s">
        <v>63</v>
      </c>
      <c r="E272" s="11"/>
      <c r="F272" s="11"/>
      <c r="G272" s="11"/>
      <c r="H272" s="11"/>
    </row>
    <row r="273" ht="15.75" customHeight="1">
      <c r="A273" s="10">
        <v>46330.0</v>
      </c>
      <c r="B273" s="3" t="s">
        <v>64</v>
      </c>
      <c r="E273" s="11"/>
      <c r="F273" s="11"/>
      <c r="G273" s="11"/>
      <c r="H273" s="11"/>
    </row>
    <row r="274" ht="15.75" customHeight="1">
      <c r="A274" s="10">
        <v>46331.0</v>
      </c>
      <c r="B274" s="3" t="s">
        <v>60</v>
      </c>
      <c r="E274" s="11"/>
      <c r="F274" s="11"/>
      <c r="G274" s="11"/>
      <c r="H274" s="11"/>
    </row>
    <row r="275" ht="15.75" customHeight="1">
      <c r="A275" s="10">
        <v>46332.0</v>
      </c>
      <c r="B275" s="3" t="s">
        <v>61</v>
      </c>
      <c r="E275" s="11"/>
      <c r="F275" s="11"/>
      <c r="G275" s="11"/>
      <c r="H275" s="11"/>
    </row>
    <row r="276" ht="15.75" customHeight="1">
      <c r="A276" s="5" t="s">
        <v>66</v>
      </c>
      <c r="B276" s="5"/>
      <c r="C276" s="5"/>
      <c r="D276" s="5"/>
      <c r="E276" s="12"/>
      <c r="F276" s="12"/>
      <c r="G276" s="12"/>
      <c r="H276" s="12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10">
        <v>46335.0</v>
      </c>
      <c r="B277" s="3" t="s">
        <v>62</v>
      </c>
      <c r="E277" s="11"/>
      <c r="F277" s="11"/>
      <c r="G277" s="11"/>
      <c r="H277" s="11"/>
    </row>
    <row r="278" ht="15.75" customHeight="1">
      <c r="A278" s="15">
        <v>46336.0</v>
      </c>
      <c r="B278" s="3" t="s">
        <v>63</v>
      </c>
      <c r="E278" s="11"/>
      <c r="F278" s="11"/>
      <c r="G278" s="11"/>
      <c r="H278" s="11"/>
    </row>
    <row r="279" ht="15.75" customHeight="1">
      <c r="A279" s="15">
        <v>46337.0</v>
      </c>
      <c r="B279" s="3" t="s">
        <v>64</v>
      </c>
      <c r="E279" s="11"/>
      <c r="F279" s="11"/>
      <c r="G279" s="11"/>
      <c r="H279" s="11"/>
    </row>
    <row r="280" ht="15.75" customHeight="1">
      <c r="A280" s="15">
        <v>46338.0</v>
      </c>
      <c r="B280" s="3" t="s">
        <v>60</v>
      </c>
      <c r="E280" s="11"/>
      <c r="F280" s="11"/>
      <c r="G280" s="11"/>
      <c r="H280" s="11"/>
    </row>
    <row r="281" ht="15.75" customHeight="1">
      <c r="A281" s="15">
        <v>46339.0</v>
      </c>
      <c r="B281" s="3" t="s">
        <v>61</v>
      </c>
      <c r="E281" s="11"/>
      <c r="F281" s="11"/>
      <c r="G281" s="11"/>
      <c r="H281" s="11"/>
    </row>
    <row r="282" ht="15.75" customHeight="1">
      <c r="A282" s="5" t="s">
        <v>69</v>
      </c>
      <c r="B282" s="5"/>
      <c r="C282" s="5"/>
      <c r="D282" s="5"/>
      <c r="E282" s="12"/>
      <c r="F282" s="12"/>
      <c r="G282" s="12"/>
      <c r="H282" s="12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15">
        <v>46342.0</v>
      </c>
      <c r="B283" s="3" t="s">
        <v>62</v>
      </c>
      <c r="E283" s="11"/>
      <c r="F283" s="11"/>
      <c r="G283" s="11"/>
      <c r="H283" s="11"/>
    </row>
    <row r="284" ht="15.75" customHeight="1">
      <c r="A284" s="15">
        <v>46343.0</v>
      </c>
      <c r="B284" s="3" t="s">
        <v>63</v>
      </c>
      <c r="E284" s="11"/>
      <c r="F284" s="11"/>
      <c r="G284" s="11"/>
      <c r="H284" s="11"/>
    </row>
    <row r="285" ht="15.75" customHeight="1">
      <c r="A285" s="15">
        <v>46344.0</v>
      </c>
      <c r="B285" s="3" t="s">
        <v>64</v>
      </c>
      <c r="E285" s="11"/>
      <c r="F285" s="11"/>
      <c r="G285" s="11"/>
      <c r="H285" s="11"/>
    </row>
    <row r="286" ht="15.75" customHeight="1">
      <c r="A286" s="15">
        <v>46345.0</v>
      </c>
      <c r="B286" s="3" t="s">
        <v>60</v>
      </c>
      <c r="E286" s="11"/>
      <c r="F286" s="11"/>
      <c r="G286" s="11"/>
      <c r="H286" s="11"/>
    </row>
    <row r="287" ht="15.75" customHeight="1">
      <c r="A287" s="15">
        <v>46346.0</v>
      </c>
      <c r="B287" s="3" t="s">
        <v>61</v>
      </c>
      <c r="E287" s="11"/>
      <c r="F287" s="11"/>
      <c r="G287" s="11"/>
      <c r="H287" s="11"/>
    </row>
    <row r="288" ht="15.75" customHeight="1">
      <c r="A288" s="5" t="s">
        <v>70</v>
      </c>
      <c r="B288" s="5"/>
      <c r="C288" s="5"/>
      <c r="D288" s="5"/>
      <c r="E288" s="12"/>
      <c r="F288" s="12"/>
      <c r="G288" s="12"/>
      <c r="H288" s="12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15">
        <v>46349.0</v>
      </c>
      <c r="B289" s="3" t="s">
        <v>62</v>
      </c>
      <c r="E289" s="11"/>
      <c r="F289" s="11"/>
      <c r="G289" s="11"/>
      <c r="H289" s="11"/>
    </row>
    <row r="290" ht="15.75" customHeight="1">
      <c r="A290" s="15">
        <v>46350.0</v>
      </c>
      <c r="B290" s="3" t="s">
        <v>63</v>
      </c>
      <c r="E290" s="11"/>
      <c r="F290" s="11"/>
      <c r="G290" s="11"/>
      <c r="H290" s="11"/>
    </row>
    <row r="291" ht="15.75" customHeight="1">
      <c r="A291" s="15">
        <v>46351.0</v>
      </c>
      <c r="B291" s="3" t="s">
        <v>64</v>
      </c>
      <c r="E291" s="11"/>
      <c r="F291" s="11"/>
      <c r="G291" s="11"/>
      <c r="H291" s="11"/>
    </row>
    <row r="292" ht="15.75" customHeight="1">
      <c r="A292" s="15">
        <v>46352.0</v>
      </c>
      <c r="B292" s="3" t="s">
        <v>60</v>
      </c>
      <c r="E292" s="11"/>
      <c r="F292" s="11"/>
      <c r="G292" s="11"/>
      <c r="H292" s="11"/>
    </row>
    <row r="293" ht="15.75" customHeight="1">
      <c r="A293" s="15">
        <v>46353.0</v>
      </c>
      <c r="B293" s="3" t="s">
        <v>61</v>
      </c>
      <c r="E293" s="11"/>
      <c r="F293" s="11"/>
      <c r="G293" s="11"/>
      <c r="H293" s="11"/>
    </row>
    <row r="294" ht="15.75" customHeight="1">
      <c r="A294" s="5" t="s">
        <v>72</v>
      </c>
      <c r="B294" s="5"/>
      <c r="C294" s="5"/>
      <c r="D294" s="5"/>
      <c r="E294" s="12"/>
      <c r="F294" s="12"/>
      <c r="G294" s="12"/>
      <c r="H294" s="12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15">
        <v>46356.0</v>
      </c>
      <c r="B295" s="3" t="s">
        <v>62</v>
      </c>
      <c r="E295" s="11"/>
      <c r="F295" s="11"/>
      <c r="G295" s="11"/>
      <c r="H295" s="11"/>
    </row>
    <row r="296" ht="15.75" customHeight="1">
      <c r="A296" s="7" t="s">
        <v>125</v>
      </c>
      <c r="B296" s="7"/>
      <c r="C296" s="7"/>
      <c r="D296" s="7"/>
      <c r="E296" s="13"/>
      <c r="F296" s="13"/>
      <c r="G296" s="13"/>
      <c r="H296" s="13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5.75" customHeight="1">
      <c r="A297" s="10">
        <v>46357.0</v>
      </c>
      <c r="B297" s="3" t="s">
        <v>63</v>
      </c>
      <c r="E297" s="11"/>
      <c r="F297" s="11"/>
      <c r="G297" s="11"/>
      <c r="H297" s="11"/>
    </row>
    <row r="298" ht="15.75" customHeight="1">
      <c r="A298" s="10">
        <v>46358.0</v>
      </c>
      <c r="B298" s="3" t="s">
        <v>64</v>
      </c>
      <c r="E298" s="11"/>
      <c r="F298" s="11"/>
      <c r="G298" s="11"/>
      <c r="H298" s="11"/>
    </row>
    <row r="299" ht="15.75" customHeight="1">
      <c r="A299" s="10">
        <v>46359.0</v>
      </c>
      <c r="B299" s="3" t="s">
        <v>60</v>
      </c>
      <c r="E299" s="11"/>
      <c r="F299" s="11"/>
      <c r="G299" s="11"/>
      <c r="H299" s="11"/>
    </row>
    <row r="300" ht="15.75" customHeight="1">
      <c r="A300" s="10">
        <v>46360.0</v>
      </c>
      <c r="B300" s="3" t="s">
        <v>61</v>
      </c>
      <c r="E300" s="11"/>
      <c r="F300" s="11"/>
      <c r="G300" s="11"/>
      <c r="H300" s="11"/>
    </row>
    <row r="301" ht="15.75" customHeight="1">
      <c r="A301" s="10">
        <v>46363.0</v>
      </c>
      <c r="B301" s="3" t="s">
        <v>62</v>
      </c>
      <c r="E301" s="11"/>
      <c r="F301" s="11"/>
      <c r="G301" s="11"/>
      <c r="H301" s="11"/>
    </row>
    <row r="302" ht="15.75" customHeight="1">
      <c r="A302" s="5" t="s">
        <v>66</v>
      </c>
      <c r="B302" s="5"/>
      <c r="C302" s="5"/>
      <c r="D302" s="5"/>
      <c r="E302" s="12"/>
      <c r="F302" s="12"/>
      <c r="G302" s="12"/>
      <c r="H302" s="12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10">
        <v>46364.0</v>
      </c>
      <c r="B303" s="3" t="s">
        <v>63</v>
      </c>
      <c r="E303" s="11"/>
      <c r="F303" s="11"/>
      <c r="G303" s="11"/>
      <c r="H303" s="11"/>
    </row>
    <row r="304" ht="15.75" customHeight="1">
      <c r="A304" s="10">
        <v>46365.0</v>
      </c>
      <c r="B304" s="3" t="s">
        <v>64</v>
      </c>
      <c r="E304" s="11"/>
      <c r="F304" s="11"/>
      <c r="G304" s="11"/>
      <c r="H304" s="11"/>
    </row>
    <row r="305" ht="15.75" customHeight="1">
      <c r="A305" s="15">
        <v>46366.0</v>
      </c>
      <c r="B305" s="3" t="s">
        <v>60</v>
      </c>
      <c r="E305" s="11"/>
      <c r="F305" s="11"/>
      <c r="G305" s="11"/>
      <c r="H305" s="11"/>
    </row>
    <row r="306" ht="15.75" customHeight="1">
      <c r="A306" s="15">
        <v>46367.0</v>
      </c>
      <c r="B306" s="3" t="s">
        <v>61</v>
      </c>
      <c r="E306" s="11"/>
      <c r="F306" s="11"/>
      <c r="G306" s="11"/>
      <c r="H306" s="11"/>
    </row>
    <row r="307" ht="15.75" customHeight="1">
      <c r="A307" s="15">
        <v>46370.0</v>
      </c>
      <c r="B307" s="3" t="s">
        <v>62</v>
      </c>
      <c r="E307" s="11"/>
      <c r="F307" s="11"/>
      <c r="G307" s="11"/>
      <c r="H307" s="11"/>
    </row>
    <row r="308" ht="15.75" customHeight="1">
      <c r="A308" s="5" t="s">
        <v>69</v>
      </c>
      <c r="B308" s="5"/>
      <c r="C308" s="5"/>
      <c r="D308" s="5"/>
      <c r="E308" s="12"/>
      <c r="F308" s="12"/>
      <c r="G308" s="12"/>
      <c r="H308" s="12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15">
        <v>46371.0</v>
      </c>
      <c r="B309" s="3" t="s">
        <v>63</v>
      </c>
      <c r="E309" s="11"/>
      <c r="F309" s="11"/>
      <c r="G309" s="11"/>
      <c r="H309" s="11"/>
    </row>
    <row r="310" ht="15.75" customHeight="1">
      <c r="A310" s="15">
        <v>46372.0</v>
      </c>
      <c r="B310" s="3" t="s">
        <v>64</v>
      </c>
      <c r="E310" s="11"/>
      <c r="F310" s="11"/>
      <c r="G310" s="11"/>
      <c r="H310" s="11"/>
    </row>
    <row r="311" ht="15.75" customHeight="1">
      <c r="A311" s="15">
        <v>46373.0</v>
      </c>
      <c r="B311" s="3" t="s">
        <v>60</v>
      </c>
      <c r="E311" s="11"/>
      <c r="F311" s="11"/>
      <c r="G311" s="11"/>
      <c r="H311" s="11"/>
    </row>
    <row r="312" ht="15.75" customHeight="1">
      <c r="A312" s="15">
        <v>46374.0</v>
      </c>
      <c r="B312" s="3" t="s">
        <v>61</v>
      </c>
      <c r="E312" s="11"/>
      <c r="F312" s="11"/>
      <c r="G312" s="11"/>
      <c r="H312" s="11"/>
    </row>
    <row r="313" ht="15.75" customHeight="1">
      <c r="A313" s="15">
        <v>46377.0</v>
      </c>
      <c r="B313" s="3" t="s">
        <v>62</v>
      </c>
      <c r="E313" s="11"/>
      <c r="F313" s="11"/>
      <c r="G313" s="11"/>
      <c r="H313" s="11"/>
    </row>
    <row r="314" ht="15.75" customHeight="1">
      <c r="A314" s="5" t="s">
        <v>70</v>
      </c>
      <c r="B314" s="5"/>
      <c r="C314" s="5"/>
      <c r="D314" s="5"/>
      <c r="E314" s="12"/>
      <c r="F314" s="12"/>
      <c r="G314" s="12"/>
      <c r="H314" s="12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15">
        <v>46378.0</v>
      </c>
      <c r="B315" s="3" t="s">
        <v>63</v>
      </c>
      <c r="E315" s="11"/>
      <c r="F315" s="11"/>
      <c r="G315" s="11"/>
      <c r="H315" s="11"/>
    </row>
    <row r="316" ht="15.75" customHeight="1">
      <c r="A316" s="15">
        <v>46379.0</v>
      </c>
      <c r="B316" s="3" t="s">
        <v>64</v>
      </c>
      <c r="E316" s="11"/>
      <c r="F316" s="11"/>
      <c r="G316" s="11"/>
      <c r="H316" s="11"/>
    </row>
    <row r="317" ht="15.75" customHeight="1">
      <c r="A317" s="15">
        <v>46380.0</v>
      </c>
      <c r="B317" s="3" t="s">
        <v>60</v>
      </c>
      <c r="E317" s="11"/>
      <c r="F317" s="11"/>
      <c r="G317" s="11"/>
      <c r="H317" s="11"/>
    </row>
    <row r="318" ht="15.75" customHeight="1">
      <c r="A318" s="15">
        <v>46381.0</v>
      </c>
      <c r="B318" s="3" t="s">
        <v>61</v>
      </c>
      <c r="E318" s="11"/>
      <c r="F318" s="11"/>
      <c r="G318" s="11"/>
      <c r="H318" s="11"/>
    </row>
    <row r="319" ht="15.75" customHeight="1">
      <c r="A319" s="15">
        <v>46384.0</v>
      </c>
      <c r="B319" s="3" t="s">
        <v>62</v>
      </c>
      <c r="E319" s="11"/>
      <c r="F319" s="11"/>
      <c r="G319" s="11"/>
      <c r="H319" s="11"/>
    </row>
    <row r="320" ht="15.75" customHeight="1">
      <c r="A320" s="5" t="s">
        <v>72</v>
      </c>
      <c r="B320" s="5"/>
      <c r="C320" s="5"/>
      <c r="D320" s="5"/>
      <c r="E320" s="12"/>
      <c r="F320" s="12"/>
      <c r="G320" s="12"/>
      <c r="H320" s="12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15">
        <v>46385.0</v>
      </c>
      <c r="B321" s="3" t="s">
        <v>63</v>
      </c>
      <c r="E321" s="11"/>
      <c r="F321" s="11"/>
      <c r="G321" s="11"/>
      <c r="H321" s="11"/>
    </row>
    <row r="322" ht="15.75" customHeight="1">
      <c r="A322" s="15">
        <v>46386.0</v>
      </c>
      <c r="B322" s="3" t="s">
        <v>64</v>
      </c>
      <c r="E322" s="11"/>
      <c r="F322" s="11"/>
      <c r="G322" s="11"/>
      <c r="H322" s="11"/>
    </row>
    <row r="323" ht="15.75" customHeight="1">
      <c r="A323" s="15">
        <v>46387.0</v>
      </c>
      <c r="B323" s="3" t="s">
        <v>60</v>
      </c>
      <c r="E323" s="11"/>
      <c r="F323" s="11"/>
      <c r="G323" s="11"/>
      <c r="H323" s="11"/>
    </row>
    <row r="324" ht="15.75" customHeight="1">
      <c r="A324" s="3" t="s">
        <v>126</v>
      </c>
      <c r="C324" s="3">
        <f t="shared" ref="C324:H324" si="1">SUM(C4:C323)</f>
        <v>123</v>
      </c>
      <c r="D324" s="3">
        <f t="shared" si="1"/>
        <v>87</v>
      </c>
      <c r="E324" s="11">
        <f t="shared" si="1"/>
        <v>54</v>
      </c>
      <c r="F324" s="11">
        <f t="shared" si="1"/>
        <v>38</v>
      </c>
      <c r="G324" s="11">
        <f t="shared" si="1"/>
        <v>2</v>
      </c>
      <c r="H324" s="11">
        <f t="shared" si="1"/>
        <v>12</v>
      </c>
    </row>
    <row r="325" ht="15.75" customHeight="1">
      <c r="E325" s="11"/>
      <c r="F325" s="11"/>
      <c r="G325" s="11"/>
      <c r="H325" s="11"/>
    </row>
    <row r="326" ht="15.75" customHeight="1">
      <c r="E326" s="11"/>
      <c r="F326" s="11"/>
      <c r="G326" s="11"/>
      <c r="H326" s="11"/>
    </row>
    <row r="327" ht="15.75" customHeight="1">
      <c r="E327" s="11"/>
      <c r="F327" s="11"/>
      <c r="G327" s="11"/>
      <c r="H327" s="11"/>
    </row>
    <row r="328" ht="15.75" customHeight="1">
      <c r="E328" s="11"/>
      <c r="F328" s="11"/>
      <c r="G328" s="11"/>
      <c r="H328" s="11"/>
    </row>
    <row r="329" ht="15.75" customHeight="1">
      <c r="E329" s="11"/>
      <c r="F329" s="11"/>
      <c r="G329" s="11"/>
      <c r="H329" s="11"/>
    </row>
    <row r="330" ht="15.75" customHeight="1">
      <c r="E330" s="11"/>
      <c r="F330" s="11"/>
      <c r="G330" s="11"/>
      <c r="H330" s="11"/>
    </row>
    <row r="331" ht="15.75" customHeight="1">
      <c r="E331" s="11"/>
      <c r="F331" s="11"/>
      <c r="G331" s="11"/>
      <c r="H331" s="11"/>
    </row>
    <row r="332" ht="15.75" customHeight="1">
      <c r="E332" s="11"/>
      <c r="F332" s="11"/>
      <c r="G332" s="11"/>
      <c r="H332" s="11"/>
    </row>
    <row r="333" ht="15.75" customHeight="1">
      <c r="E333" s="11"/>
      <c r="F333" s="11"/>
      <c r="G333" s="11"/>
      <c r="H333" s="11"/>
    </row>
    <row r="334" ht="15.75" customHeight="1">
      <c r="E334" s="11"/>
      <c r="F334" s="11"/>
      <c r="G334" s="11"/>
      <c r="H334" s="11"/>
    </row>
    <row r="335" ht="15.75" customHeight="1">
      <c r="E335" s="11"/>
      <c r="F335" s="11"/>
      <c r="G335" s="11"/>
      <c r="H335" s="11"/>
    </row>
    <row r="336" ht="15.75" customHeight="1">
      <c r="E336" s="11"/>
      <c r="F336" s="11"/>
      <c r="G336" s="11"/>
      <c r="H336" s="11"/>
    </row>
    <row r="337" ht="15.75" customHeight="1">
      <c r="E337" s="11"/>
      <c r="F337" s="11"/>
      <c r="G337" s="11"/>
      <c r="H337" s="11"/>
    </row>
    <row r="338" ht="15.75" customHeight="1">
      <c r="E338" s="11"/>
      <c r="F338" s="11"/>
      <c r="G338" s="11"/>
      <c r="H338" s="11"/>
    </row>
    <row r="339" ht="15.75" customHeight="1">
      <c r="E339" s="11"/>
      <c r="F339" s="11"/>
      <c r="G339" s="11"/>
      <c r="H339" s="11"/>
    </row>
    <row r="340" ht="15.75" customHeight="1">
      <c r="E340" s="11"/>
      <c r="F340" s="11"/>
      <c r="G340" s="11"/>
      <c r="H340" s="11"/>
    </row>
    <row r="341" ht="15.75" customHeight="1">
      <c r="E341" s="11"/>
      <c r="F341" s="11"/>
      <c r="G341" s="11"/>
      <c r="H341" s="11"/>
    </row>
    <row r="342" ht="15.75" customHeight="1">
      <c r="E342" s="11"/>
      <c r="F342" s="11"/>
      <c r="G342" s="11"/>
      <c r="H342" s="11"/>
    </row>
    <row r="343" ht="15.75" customHeight="1">
      <c r="E343" s="11"/>
      <c r="F343" s="11"/>
      <c r="G343" s="11"/>
      <c r="H343" s="11"/>
    </row>
    <row r="344" ht="15.75" customHeight="1">
      <c r="E344" s="11"/>
      <c r="F344" s="11"/>
      <c r="G344" s="11"/>
      <c r="H344" s="11"/>
    </row>
    <row r="345" ht="15.75" customHeight="1">
      <c r="E345" s="11"/>
      <c r="F345" s="11"/>
      <c r="G345" s="11"/>
      <c r="H345" s="11"/>
    </row>
    <row r="346" ht="15.75" customHeight="1">
      <c r="E346" s="11"/>
      <c r="F346" s="11"/>
      <c r="G346" s="11"/>
      <c r="H346" s="11"/>
    </row>
    <row r="347" ht="15.75" customHeight="1">
      <c r="E347" s="11"/>
      <c r="F347" s="11"/>
      <c r="G347" s="11"/>
      <c r="H347" s="11"/>
    </row>
    <row r="348" ht="15.75" customHeight="1">
      <c r="E348" s="11"/>
      <c r="F348" s="11"/>
      <c r="G348" s="11"/>
      <c r="H348" s="11"/>
    </row>
    <row r="349" ht="15.75" customHeight="1">
      <c r="E349" s="11"/>
      <c r="F349" s="11"/>
      <c r="G349" s="11"/>
      <c r="H349" s="11"/>
    </row>
    <row r="350" ht="15.75" customHeight="1">
      <c r="E350" s="11"/>
      <c r="F350" s="11"/>
      <c r="G350" s="11"/>
      <c r="H350" s="11"/>
    </row>
    <row r="351" ht="15.75" customHeight="1">
      <c r="E351" s="11"/>
      <c r="F351" s="11"/>
      <c r="G351" s="11"/>
      <c r="H351" s="11"/>
    </row>
    <row r="352" ht="15.75" customHeight="1">
      <c r="E352" s="11"/>
      <c r="F352" s="11"/>
      <c r="G352" s="11"/>
      <c r="H352" s="11"/>
    </row>
    <row r="353" ht="15.75" customHeight="1">
      <c r="E353" s="11"/>
      <c r="F353" s="11"/>
      <c r="G353" s="11"/>
      <c r="H353" s="11"/>
    </row>
    <row r="354" ht="15.75" customHeight="1">
      <c r="E354" s="11"/>
      <c r="F354" s="11"/>
      <c r="G354" s="11"/>
      <c r="H354" s="11"/>
    </row>
    <row r="355" ht="15.75" customHeight="1">
      <c r="E355" s="11"/>
      <c r="F355" s="11"/>
      <c r="G355" s="11"/>
      <c r="H355" s="11"/>
    </row>
    <row r="356" ht="15.75" customHeight="1">
      <c r="E356" s="11"/>
      <c r="F356" s="11"/>
      <c r="G356" s="11"/>
      <c r="H356" s="11"/>
    </row>
    <row r="357" ht="15.75" customHeight="1">
      <c r="E357" s="11"/>
      <c r="F357" s="11"/>
      <c r="G357" s="11"/>
      <c r="H357" s="11"/>
    </row>
    <row r="358" ht="15.75" customHeight="1">
      <c r="E358" s="11"/>
      <c r="F358" s="11"/>
      <c r="G358" s="11"/>
      <c r="H358" s="11"/>
    </row>
    <row r="359" ht="15.75" customHeight="1">
      <c r="E359" s="11"/>
      <c r="F359" s="11"/>
      <c r="G359" s="11"/>
      <c r="H359" s="11"/>
    </row>
    <row r="360" ht="15.75" customHeight="1">
      <c r="E360" s="11"/>
      <c r="F360" s="11"/>
      <c r="G360" s="11"/>
      <c r="H360" s="11"/>
    </row>
    <row r="361" ht="15.75" customHeight="1">
      <c r="E361" s="11"/>
      <c r="F361" s="11"/>
      <c r="G361" s="11"/>
      <c r="H361" s="11"/>
    </row>
    <row r="362" ht="15.75" customHeight="1">
      <c r="E362" s="11"/>
      <c r="F362" s="11"/>
      <c r="G362" s="11"/>
      <c r="H362" s="11"/>
    </row>
    <row r="363" ht="15.75" customHeight="1">
      <c r="E363" s="11"/>
      <c r="F363" s="11"/>
      <c r="G363" s="11"/>
      <c r="H363" s="11"/>
    </row>
    <row r="364" ht="15.75" customHeight="1">
      <c r="E364" s="11"/>
      <c r="F364" s="11"/>
      <c r="G364" s="11"/>
      <c r="H364" s="11"/>
    </row>
    <row r="365" ht="15.75" customHeight="1">
      <c r="E365" s="11"/>
      <c r="F365" s="11"/>
      <c r="G365" s="11"/>
      <c r="H365" s="11"/>
    </row>
    <row r="366" ht="15.75" customHeight="1">
      <c r="E366" s="11"/>
      <c r="F366" s="11"/>
      <c r="G366" s="11"/>
      <c r="H366" s="11"/>
    </row>
    <row r="367" ht="15.75" customHeight="1">
      <c r="E367" s="11"/>
      <c r="F367" s="11"/>
      <c r="G367" s="11"/>
      <c r="H367" s="11"/>
    </row>
    <row r="368" ht="15.75" customHeight="1">
      <c r="E368" s="11"/>
      <c r="F368" s="11"/>
      <c r="G368" s="11"/>
      <c r="H368" s="11"/>
    </row>
    <row r="369" ht="15.75" customHeight="1">
      <c r="E369" s="11"/>
      <c r="F369" s="11"/>
      <c r="G369" s="11"/>
      <c r="H369" s="11"/>
    </row>
    <row r="370" ht="15.75" customHeight="1">
      <c r="E370" s="11"/>
      <c r="F370" s="11"/>
      <c r="G370" s="11"/>
      <c r="H370" s="11"/>
    </row>
    <row r="371" ht="15.75" customHeight="1">
      <c r="E371" s="11"/>
      <c r="F371" s="11"/>
      <c r="G371" s="11"/>
      <c r="H371" s="11"/>
    </row>
    <row r="372" ht="15.75" customHeight="1">
      <c r="E372" s="11"/>
      <c r="F372" s="11"/>
      <c r="G372" s="11"/>
      <c r="H372" s="11"/>
    </row>
    <row r="373" ht="15.75" customHeight="1">
      <c r="E373" s="11"/>
      <c r="F373" s="11"/>
      <c r="G373" s="11"/>
      <c r="H373" s="11"/>
    </row>
    <row r="374" ht="15.75" customHeight="1">
      <c r="E374" s="11"/>
      <c r="F374" s="11"/>
      <c r="G374" s="11"/>
      <c r="H374" s="11"/>
    </row>
    <row r="375" ht="15.75" customHeight="1">
      <c r="E375" s="11"/>
      <c r="F375" s="11"/>
      <c r="G375" s="11"/>
      <c r="H375" s="11"/>
    </row>
    <row r="376" ht="15.75" customHeight="1">
      <c r="E376" s="11"/>
      <c r="F376" s="11"/>
      <c r="G376" s="11"/>
      <c r="H376" s="11"/>
    </row>
    <row r="377" ht="15.75" customHeight="1">
      <c r="E377" s="11"/>
      <c r="F377" s="11"/>
      <c r="G377" s="11"/>
      <c r="H377" s="11"/>
    </row>
    <row r="378" ht="15.75" customHeight="1">
      <c r="E378" s="11"/>
      <c r="F378" s="11"/>
      <c r="G378" s="11"/>
      <c r="H378" s="11"/>
    </row>
    <row r="379" ht="15.75" customHeight="1">
      <c r="E379" s="11"/>
      <c r="F379" s="11"/>
      <c r="G379" s="11"/>
      <c r="H379" s="11"/>
    </row>
    <row r="380" ht="15.75" customHeight="1">
      <c r="E380" s="11"/>
      <c r="F380" s="11"/>
      <c r="G380" s="11"/>
      <c r="H380" s="11"/>
    </row>
    <row r="381" ht="15.75" customHeight="1">
      <c r="E381" s="11"/>
      <c r="F381" s="11"/>
      <c r="G381" s="11"/>
      <c r="H381" s="11"/>
    </row>
    <row r="382" ht="15.75" customHeight="1">
      <c r="E382" s="11"/>
      <c r="F382" s="11"/>
      <c r="G382" s="11"/>
      <c r="H382" s="11"/>
    </row>
    <row r="383" ht="15.75" customHeight="1">
      <c r="E383" s="11"/>
      <c r="F383" s="11"/>
      <c r="G383" s="11"/>
      <c r="H383" s="11"/>
    </row>
    <row r="384" ht="15.75" customHeight="1">
      <c r="E384" s="11"/>
      <c r="F384" s="11"/>
      <c r="G384" s="11"/>
      <c r="H384" s="11"/>
    </row>
    <row r="385" ht="15.75" customHeight="1">
      <c r="E385" s="11"/>
      <c r="F385" s="11"/>
      <c r="G385" s="11"/>
      <c r="H385" s="11"/>
    </row>
    <row r="386" ht="15.75" customHeight="1">
      <c r="E386" s="11"/>
      <c r="F386" s="11"/>
      <c r="G386" s="11"/>
      <c r="H386" s="11"/>
    </row>
    <row r="387" ht="15.75" customHeight="1">
      <c r="E387" s="11"/>
      <c r="F387" s="11"/>
      <c r="G387" s="11"/>
      <c r="H387" s="11"/>
    </row>
    <row r="388" ht="15.75" customHeight="1">
      <c r="E388" s="11"/>
      <c r="F388" s="11"/>
      <c r="G388" s="11"/>
      <c r="H388" s="11"/>
    </row>
    <row r="389" ht="15.75" customHeight="1">
      <c r="E389" s="11"/>
      <c r="F389" s="11"/>
      <c r="G389" s="11"/>
      <c r="H389" s="11"/>
    </row>
    <row r="390" ht="15.75" customHeight="1">
      <c r="E390" s="11"/>
      <c r="F390" s="11"/>
      <c r="G390" s="11"/>
      <c r="H390" s="11"/>
    </row>
    <row r="391" ht="15.75" customHeight="1">
      <c r="E391" s="11"/>
      <c r="F391" s="11"/>
      <c r="G391" s="11"/>
      <c r="H391" s="11"/>
    </row>
    <row r="392" ht="15.75" customHeight="1">
      <c r="E392" s="11"/>
      <c r="F392" s="11"/>
      <c r="G392" s="11"/>
      <c r="H392" s="11"/>
    </row>
    <row r="393" ht="15.75" customHeight="1">
      <c r="E393" s="11"/>
      <c r="F393" s="11"/>
      <c r="G393" s="11"/>
      <c r="H393" s="11"/>
    </row>
    <row r="394" ht="15.75" customHeight="1">
      <c r="E394" s="11"/>
      <c r="F394" s="11"/>
      <c r="G394" s="11"/>
      <c r="H394" s="11"/>
    </row>
    <row r="395" ht="15.75" customHeight="1">
      <c r="E395" s="11"/>
      <c r="F395" s="11"/>
      <c r="G395" s="11"/>
      <c r="H395" s="11"/>
    </row>
    <row r="396" ht="15.75" customHeight="1">
      <c r="E396" s="11"/>
      <c r="F396" s="11"/>
      <c r="G396" s="11"/>
      <c r="H396" s="11"/>
    </row>
    <row r="397" ht="15.75" customHeight="1">
      <c r="E397" s="11"/>
      <c r="F397" s="11"/>
      <c r="G397" s="11"/>
      <c r="H397" s="11"/>
    </row>
    <row r="398" ht="15.75" customHeight="1">
      <c r="E398" s="11"/>
      <c r="F398" s="11"/>
      <c r="G398" s="11"/>
      <c r="H398" s="11"/>
    </row>
    <row r="399" ht="15.75" customHeight="1">
      <c r="E399" s="11"/>
      <c r="F399" s="11"/>
      <c r="G399" s="11"/>
      <c r="H399" s="11"/>
    </row>
    <row r="400" ht="15.75" customHeight="1">
      <c r="E400" s="11"/>
      <c r="F400" s="11"/>
      <c r="G400" s="11"/>
      <c r="H400" s="11"/>
    </row>
    <row r="401" ht="15.75" customHeight="1">
      <c r="E401" s="11"/>
      <c r="F401" s="11"/>
      <c r="G401" s="11"/>
      <c r="H401" s="11"/>
    </row>
    <row r="402" ht="15.75" customHeight="1">
      <c r="E402" s="11"/>
      <c r="F402" s="11"/>
      <c r="G402" s="11"/>
      <c r="H402" s="11"/>
    </row>
    <row r="403" ht="15.75" customHeight="1">
      <c r="E403" s="11"/>
      <c r="F403" s="11"/>
      <c r="G403" s="11"/>
      <c r="H403" s="11"/>
    </row>
    <row r="404" ht="15.75" customHeight="1">
      <c r="E404" s="11"/>
      <c r="F404" s="11"/>
      <c r="G404" s="11"/>
      <c r="H404" s="11"/>
    </row>
    <row r="405" ht="15.75" customHeight="1">
      <c r="E405" s="11"/>
      <c r="F405" s="11"/>
      <c r="G405" s="11"/>
      <c r="H405" s="11"/>
    </row>
    <row r="406" ht="15.75" customHeight="1">
      <c r="E406" s="11"/>
      <c r="F406" s="11"/>
      <c r="G406" s="11"/>
      <c r="H406" s="11"/>
    </row>
    <row r="407" ht="15.75" customHeight="1">
      <c r="E407" s="11"/>
      <c r="F407" s="11"/>
      <c r="G407" s="11"/>
      <c r="H407" s="11"/>
    </row>
    <row r="408" ht="15.75" customHeight="1">
      <c r="E408" s="11"/>
      <c r="F408" s="11"/>
      <c r="G408" s="11"/>
      <c r="H408" s="11"/>
    </row>
    <row r="409" ht="15.75" customHeight="1">
      <c r="E409" s="11"/>
      <c r="F409" s="11"/>
      <c r="G409" s="11"/>
      <c r="H409" s="11"/>
    </row>
    <row r="410" ht="15.75" customHeight="1">
      <c r="E410" s="11"/>
      <c r="F410" s="11"/>
      <c r="G410" s="11"/>
      <c r="H410" s="11"/>
    </row>
    <row r="411" ht="15.75" customHeight="1">
      <c r="E411" s="11"/>
      <c r="F411" s="11"/>
      <c r="G411" s="11"/>
      <c r="H411" s="11"/>
    </row>
    <row r="412" ht="15.75" customHeight="1">
      <c r="E412" s="11"/>
      <c r="F412" s="11"/>
      <c r="G412" s="11"/>
      <c r="H412" s="11"/>
    </row>
    <row r="413" ht="15.75" customHeight="1">
      <c r="E413" s="11"/>
      <c r="F413" s="11"/>
      <c r="G413" s="11"/>
      <c r="H413" s="11"/>
    </row>
    <row r="414" ht="15.75" customHeight="1">
      <c r="E414" s="11"/>
      <c r="F414" s="11"/>
      <c r="G414" s="11"/>
      <c r="H414" s="11"/>
    </row>
    <row r="415" ht="15.75" customHeight="1">
      <c r="E415" s="11"/>
      <c r="F415" s="11"/>
      <c r="G415" s="11"/>
      <c r="H415" s="11"/>
    </row>
    <row r="416" ht="15.75" customHeight="1">
      <c r="E416" s="11"/>
      <c r="F416" s="11"/>
      <c r="G416" s="11"/>
      <c r="H416" s="11"/>
    </row>
    <row r="417" ht="15.75" customHeight="1">
      <c r="E417" s="11"/>
      <c r="F417" s="11"/>
      <c r="G417" s="11"/>
      <c r="H417" s="11"/>
    </row>
    <row r="418" ht="15.75" customHeight="1">
      <c r="E418" s="11"/>
      <c r="F418" s="11"/>
      <c r="G418" s="11"/>
      <c r="H418" s="11"/>
    </row>
    <row r="419" ht="15.75" customHeight="1">
      <c r="E419" s="11"/>
      <c r="F419" s="11"/>
      <c r="G419" s="11"/>
      <c r="H419" s="11"/>
    </row>
    <row r="420" ht="15.75" customHeight="1">
      <c r="E420" s="11"/>
      <c r="F420" s="11"/>
      <c r="G420" s="11"/>
      <c r="H420" s="11"/>
    </row>
    <row r="421" ht="15.75" customHeight="1">
      <c r="E421" s="11"/>
      <c r="F421" s="11"/>
      <c r="G421" s="11"/>
      <c r="H421" s="11"/>
    </row>
    <row r="422" ht="15.75" customHeight="1">
      <c r="E422" s="11"/>
      <c r="F422" s="11"/>
      <c r="G422" s="11"/>
      <c r="H422" s="11"/>
    </row>
    <row r="423" ht="15.75" customHeight="1">
      <c r="E423" s="11"/>
      <c r="F423" s="11"/>
      <c r="G423" s="11"/>
      <c r="H423" s="11"/>
    </row>
    <row r="424" ht="15.75" customHeight="1">
      <c r="E424" s="11"/>
      <c r="F424" s="11"/>
      <c r="G424" s="11"/>
      <c r="H424" s="11"/>
    </row>
    <row r="425" ht="15.75" customHeight="1">
      <c r="E425" s="11"/>
      <c r="F425" s="11"/>
      <c r="G425" s="11"/>
      <c r="H425" s="11"/>
    </row>
    <row r="426" ht="15.75" customHeight="1">
      <c r="E426" s="11"/>
      <c r="F426" s="11"/>
      <c r="G426" s="11"/>
      <c r="H426" s="11"/>
    </row>
    <row r="427" ht="15.75" customHeight="1">
      <c r="E427" s="11"/>
      <c r="F427" s="11"/>
      <c r="G427" s="11"/>
      <c r="H427" s="11"/>
    </row>
    <row r="428" ht="15.75" customHeight="1">
      <c r="E428" s="11"/>
      <c r="F428" s="11"/>
      <c r="G428" s="11"/>
      <c r="H428" s="11"/>
    </row>
    <row r="429" ht="15.75" customHeight="1">
      <c r="E429" s="11"/>
      <c r="F429" s="11"/>
      <c r="G429" s="11"/>
      <c r="H429" s="11"/>
    </row>
    <row r="430" ht="15.75" customHeight="1">
      <c r="E430" s="11"/>
      <c r="F430" s="11"/>
      <c r="G430" s="11"/>
      <c r="H430" s="11"/>
    </row>
    <row r="431" ht="15.75" customHeight="1">
      <c r="E431" s="11"/>
      <c r="F431" s="11"/>
      <c r="G431" s="11"/>
      <c r="H431" s="11"/>
    </row>
    <row r="432" ht="15.75" customHeight="1">
      <c r="E432" s="11"/>
      <c r="F432" s="11"/>
      <c r="G432" s="11"/>
      <c r="H432" s="11"/>
    </row>
    <row r="433" ht="15.75" customHeight="1">
      <c r="E433" s="11"/>
      <c r="F433" s="11"/>
      <c r="G433" s="11"/>
      <c r="H433" s="11"/>
    </row>
    <row r="434" ht="15.75" customHeight="1">
      <c r="E434" s="11"/>
      <c r="F434" s="11"/>
      <c r="G434" s="11"/>
      <c r="H434" s="11"/>
    </row>
    <row r="435" ht="15.75" customHeight="1">
      <c r="E435" s="11"/>
      <c r="F435" s="11"/>
      <c r="G435" s="11"/>
      <c r="H435" s="11"/>
    </row>
    <row r="436" ht="15.75" customHeight="1">
      <c r="E436" s="11"/>
      <c r="F436" s="11"/>
      <c r="G436" s="11"/>
      <c r="H436" s="11"/>
    </row>
    <row r="437" ht="15.75" customHeight="1">
      <c r="E437" s="11"/>
      <c r="F437" s="11"/>
      <c r="G437" s="11"/>
      <c r="H437" s="11"/>
    </row>
    <row r="438" ht="15.75" customHeight="1">
      <c r="E438" s="11"/>
      <c r="F438" s="11"/>
      <c r="G438" s="11"/>
      <c r="H438" s="11"/>
    </row>
    <row r="439" ht="15.75" customHeight="1">
      <c r="E439" s="11"/>
      <c r="F439" s="11"/>
      <c r="G439" s="11"/>
      <c r="H439" s="11"/>
    </row>
    <row r="440" ht="15.75" customHeight="1">
      <c r="E440" s="11"/>
      <c r="F440" s="11"/>
      <c r="G440" s="11"/>
      <c r="H440" s="11"/>
    </row>
    <row r="441" ht="15.75" customHeight="1">
      <c r="E441" s="11"/>
      <c r="F441" s="11"/>
      <c r="G441" s="11"/>
      <c r="H441" s="11"/>
    </row>
    <row r="442" ht="15.75" customHeight="1">
      <c r="E442" s="11"/>
      <c r="F442" s="11"/>
      <c r="G442" s="11"/>
      <c r="H442" s="11"/>
    </row>
    <row r="443" ht="15.75" customHeight="1">
      <c r="E443" s="11"/>
      <c r="F443" s="11"/>
      <c r="G443" s="11"/>
      <c r="H443" s="11"/>
    </row>
    <row r="444" ht="15.75" customHeight="1">
      <c r="E444" s="11"/>
      <c r="F444" s="11"/>
      <c r="G444" s="11"/>
      <c r="H444" s="11"/>
    </row>
    <row r="445" ht="15.75" customHeight="1">
      <c r="E445" s="11"/>
      <c r="F445" s="11"/>
      <c r="G445" s="11"/>
      <c r="H445" s="11"/>
    </row>
    <row r="446" ht="15.75" customHeight="1">
      <c r="E446" s="11"/>
      <c r="F446" s="11"/>
      <c r="G446" s="11"/>
      <c r="H446" s="11"/>
    </row>
    <row r="447" ht="15.75" customHeight="1">
      <c r="E447" s="11"/>
      <c r="F447" s="11"/>
      <c r="G447" s="11"/>
      <c r="H447" s="11"/>
    </row>
    <row r="448" ht="15.75" customHeight="1">
      <c r="E448" s="11"/>
      <c r="F448" s="11"/>
      <c r="G448" s="11"/>
      <c r="H448" s="11"/>
    </row>
    <row r="449" ht="15.75" customHeight="1">
      <c r="E449" s="11"/>
      <c r="F449" s="11"/>
      <c r="G449" s="11"/>
      <c r="H449" s="11"/>
    </row>
    <row r="450" ht="15.75" customHeight="1">
      <c r="E450" s="11"/>
      <c r="F450" s="11"/>
      <c r="G450" s="11"/>
      <c r="H450" s="11"/>
    </row>
    <row r="451" ht="15.75" customHeight="1">
      <c r="E451" s="11"/>
      <c r="F451" s="11"/>
      <c r="G451" s="11"/>
      <c r="H451" s="11"/>
    </row>
    <row r="452" ht="15.75" customHeight="1">
      <c r="E452" s="11"/>
      <c r="F452" s="11"/>
      <c r="G452" s="11"/>
      <c r="H452" s="11"/>
    </row>
    <row r="453" ht="15.75" customHeight="1">
      <c r="E453" s="11"/>
      <c r="F453" s="11"/>
      <c r="G453" s="11"/>
      <c r="H453" s="11"/>
    </row>
    <row r="454" ht="15.75" customHeight="1">
      <c r="E454" s="11"/>
      <c r="F454" s="11"/>
      <c r="G454" s="11"/>
      <c r="H454" s="11"/>
    </row>
    <row r="455" ht="15.75" customHeight="1">
      <c r="E455" s="11"/>
      <c r="F455" s="11"/>
      <c r="G455" s="11"/>
      <c r="H455" s="11"/>
    </row>
    <row r="456" ht="15.75" customHeight="1">
      <c r="E456" s="11"/>
      <c r="F456" s="11"/>
      <c r="G456" s="11"/>
      <c r="H456" s="11"/>
    </row>
    <row r="457" ht="15.75" customHeight="1">
      <c r="E457" s="11"/>
      <c r="F457" s="11"/>
      <c r="G457" s="11"/>
      <c r="H457" s="11"/>
    </row>
    <row r="458" ht="15.75" customHeight="1">
      <c r="E458" s="11"/>
      <c r="F458" s="11"/>
      <c r="G458" s="11"/>
      <c r="H458" s="11"/>
    </row>
    <row r="459" ht="15.75" customHeight="1">
      <c r="E459" s="11"/>
      <c r="F459" s="11"/>
      <c r="G459" s="11"/>
      <c r="H459" s="11"/>
    </row>
    <row r="460" ht="15.75" customHeight="1">
      <c r="E460" s="11"/>
      <c r="F460" s="11"/>
      <c r="G460" s="11"/>
      <c r="H460" s="11"/>
    </row>
    <row r="461" ht="15.75" customHeight="1">
      <c r="E461" s="11"/>
      <c r="F461" s="11"/>
      <c r="G461" s="11"/>
      <c r="H461" s="11"/>
    </row>
    <row r="462" ht="15.75" customHeight="1">
      <c r="E462" s="11"/>
      <c r="F462" s="11"/>
      <c r="G462" s="11"/>
      <c r="H462" s="11"/>
    </row>
    <row r="463" ht="15.75" customHeight="1">
      <c r="E463" s="11"/>
      <c r="F463" s="11"/>
      <c r="G463" s="11"/>
      <c r="H463" s="11"/>
    </row>
    <row r="464" ht="15.75" customHeight="1">
      <c r="E464" s="11"/>
      <c r="F464" s="11"/>
      <c r="G464" s="11"/>
      <c r="H464" s="11"/>
    </row>
    <row r="465" ht="15.75" customHeight="1">
      <c r="E465" s="11"/>
      <c r="F465" s="11"/>
      <c r="G465" s="11"/>
      <c r="H465" s="11"/>
    </row>
    <row r="466" ht="15.75" customHeight="1">
      <c r="E466" s="11"/>
      <c r="F466" s="11"/>
      <c r="G466" s="11"/>
      <c r="H466" s="11"/>
    </row>
    <row r="467" ht="15.75" customHeight="1">
      <c r="E467" s="11"/>
      <c r="F467" s="11"/>
      <c r="G467" s="11"/>
      <c r="H467" s="11"/>
    </row>
    <row r="468" ht="15.75" customHeight="1">
      <c r="E468" s="11"/>
      <c r="F468" s="11"/>
      <c r="G468" s="11"/>
      <c r="H468" s="11"/>
    </row>
    <row r="469" ht="15.75" customHeight="1">
      <c r="E469" s="11"/>
      <c r="F469" s="11"/>
      <c r="G469" s="11"/>
      <c r="H469" s="11"/>
    </row>
    <row r="470" ht="15.75" customHeight="1">
      <c r="E470" s="11"/>
      <c r="F470" s="11"/>
      <c r="G470" s="11"/>
      <c r="H470" s="11"/>
    </row>
    <row r="471" ht="15.75" customHeight="1">
      <c r="E471" s="11"/>
      <c r="F471" s="11"/>
      <c r="G471" s="11"/>
      <c r="H471" s="11"/>
    </row>
    <row r="472" ht="15.75" customHeight="1">
      <c r="E472" s="11"/>
      <c r="F472" s="11"/>
      <c r="G472" s="11"/>
      <c r="H472" s="11"/>
    </row>
    <row r="473" ht="15.75" customHeight="1">
      <c r="E473" s="11"/>
      <c r="F473" s="11"/>
      <c r="G473" s="11"/>
      <c r="H473" s="11"/>
    </row>
    <row r="474" ht="15.75" customHeight="1">
      <c r="E474" s="11"/>
      <c r="F474" s="11"/>
      <c r="G474" s="11"/>
      <c r="H474" s="11"/>
    </row>
    <row r="475" ht="15.75" customHeight="1">
      <c r="E475" s="11"/>
      <c r="F475" s="11"/>
      <c r="G475" s="11"/>
      <c r="H475" s="11"/>
    </row>
    <row r="476" ht="15.75" customHeight="1">
      <c r="E476" s="11"/>
      <c r="F476" s="11"/>
      <c r="G476" s="11"/>
      <c r="H476" s="11"/>
    </row>
    <row r="477" ht="15.75" customHeight="1">
      <c r="E477" s="11"/>
      <c r="F477" s="11"/>
      <c r="G477" s="11"/>
      <c r="H477" s="11"/>
    </row>
    <row r="478" ht="15.75" customHeight="1">
      <c r="E478" s="11"/>
      <c r="F478" s="11"/>
      <c r="G478" s="11"/>
      <c r="H478" s="11"/>
    </row>
    <row r="479" ht="15.75" customHeight="1">
      <c r="E479" s="11"/>
      <c r="F479" s="11"/>
      <c r="G479" s="11"/>
      <c r="H479" s="11"/>
    </row>
    <row r="480" ht="15.75" customHeight="1">
      <c r="E480" s="11"/>
      <c r="F480" s="11"/>
      <c r="G480" s="11"/>
      <c r="H480" s="11"/>
    </row>
    <row r="481" ht="15.75" customHeight="1">
      <c r="E481" s="11"/>
      <c r="F481" s="11"/>
      <c r="G481" s="11"/>
      <c r="H481" s="11"/>
    </row>
    <row r="482" ht="15.75" customHeight="1">
      <c r="E482" s="11"/>
      <c r="F482" s="11"/>
      <c r="G482" s="11"/>
      <c r="H482" s="11"/>
    </row>
    <row r="483" ht="15.75" customHeight="1">
      <c r="E483" s="11"/>
      <c r="F483" s="11"/>
      <c r="G483" s="11"/>
      <c r="H483" s="11"/>
    </row>
    <row r="484" ht="15.75" customHeight="1">
      <c r="E484" s="11"/>
      <c r="F484" s="11"/>
      <c r="G484" s="11"/>
      <c r="H484" s="11"/>
    </row>
    <row r="485" ht="15.75" customHeight="1">
      <c r="E485" s="11"/>
      <c r="F485" s="11"/>
      <c r="G485" s="11"/>
      <c r="H485" s="11"/>
    </row>
    <row r="486" ht="15.75" customHeight="1">
      <c r="E486" s="11"/>
      <c r="F486" s="11"/>
      <c r="G486" s="11"/>
      <c r="H486" s="11"/>
    </row>
    <row r="487" ht="15.75" customHeight="1">
      <c r="E487" s="11"/>
      <c r="F487" s="11"/>
      <c r="G487" s="11"/>
      <c r="H487" s="11"/>
    </row>
    <row r="488" ht="15.75" customHeight="1">
      <c r="E488" s="11"/>
      <c r="F488" s="11"/>
      <c r="G488" s="11"/>
      <c r="H488" s="11"/>
    </row>
    <row r="489" ht="15.75" customHeight="1">
      <c r="E489" s="11"/>
      <c r="F489" s="11"/>
      <c r="G489" s="11"/>
      <c r="H489" s="11"/>
    </row>
    <row r="490" ht="15.75" customHeight="1">
      <c r="E490" s="11"/>
      <c r="F490" s="11"/>
      <c r="G490" s="11"/>
      <c r="H490" s="11"/>
    </row>
    <row r="491" ht="15.75" customHeight="1">
      <c r="E491" s="11"/>
      <c r="F491" s="11"/>
      <c r="G491" s="11"/>
      <c r="H491" s="11"/>
    </row>
    <row r="492" ht="15.75" customHeight="1">
      <c r="E492" s="11"/>
      <c r="F492" s="11"/>
      <c r="G492" s="11"/>
      <c r="H492" s="11"/>
    </row>
    <row r="493" ht="15.75" customHeight="1">
      <c r="E493" s="11"/>
      <c r="F493" s="11"/>
      <c r="G493" s="11"/>
      <c r="H493" s="11"/>
    </row>
    <row r="494" ht="15.75" customHeight="1">
      <c r="E494" s="11"/>
      <c r="F494" s="11"/>
      <c r="G494" s="11"/>
      <c r="H494" s="11"/>
    </row>
    <row r="495" ht="15.75" customHeight="1">
      <c r="E495" s="11"/>
      <c r="F495" s="11"/>
      <c r="G495" s="11"/>
      <c r="H495" s="11"/>
    </row>
    <row r="496" ht="15.75" customHeight="1">
      <c r="E496" s="11"/>
      <c r="F496" s="11"/>
      <c r="G496" s="11"/>
      <c r="H496" s="11"/>
    </row>
    <row r="497" ht="15.75" customHeight="1">
      <c r="E497" s="11"/>
      <c r="F497" s="11"/>
      <c r="G497" s="11"/>
      <c r="H497" s="11"/>
    </row>
    <row r="498" ht="15.75" customHeight="1">
      <c r="E498" s="11"/>
      <c r="F498" s="11"/>
      <c r="G498" s="11"/>
      <c r="H498" s="11"/>
    </row>
    <row r="499" ht="15.75" customHeight="1">
      <c r="E499" s="11"/>
      <c r="F499" s="11"/>
      <c r="G499" s="11"/>
      <c r="H499" s="11"/>
    </row>
    <row r="500" ht="15.75" customHeight="1">
      <c r="E500" s="11"/>
      <c r="F500" s="11"/>
      <c r="G500" s="11"/>
      <c r="H500" s="11"/>
    </row>
    <row r="501" ht="15.75" customHeight="1">
      <c r="E501" s="11"/>
      <c r="F501" s="11"/>
      <c r="G501" s="11"/>
      <c r="H501" s="11"/>
    </row>
    <row r="502" ht="15.75" customHeight="1">
      <c r="E502" s="11"/>
      <c r="F502" s="11"/>
      <c r="G502" s="11"/>
      <c r="H502" s="11"/>
    </row>
    <row r="503" ht="15.75" customHeight="1">
      <c r="E503" s="11"/>
      <c r="F503" s="11"/>
      <c r="G503" s="11"/>
      <c r="H503" s="11"/>
    </row>
    <row r="504" ht="15.75" customHeight="1">
      <c r="E504" s="11"/>
      <c r="F504" s="11"/>
      <c r="G504" s="11"/>
      <c r="H504" s="11"/>
    </row>
    <row r="505" ht="15.75" customHeight="1">
      <c r="E505" s="11"/>
      <c r="F505" s="11"/>
      <c r="G505" s="11"/>
      <c r="H505" s="11"/>
    </row>
    <row r="506" ht="15.75" customHeight="1">
      <c r="E506" s="11"/>
      <c r="F506" s="11"/>
      <c r="G506" s="11"/>
      <c r="H506" s="11"/>
    </row>
    <row r="507" ht="15.75" customHeight="1">
      <c r="E507" s="11"/>
      <c r="F507" s="11"/>
      <c r="G507" s="11"/>
      <c r="H507" s="11"/>
    </row>
    <row r="508" ht="15.75" customHeight="1">
      <c r="E508" s="11"/>
      <c r="F508" s="11"/>
      <c r="G508" s="11"/>
      <c r="H508" s="11"/>
    </row>
    <row r="509" ht="15.75" customHeight="1">
      <c r="E509" s="11"/>
      <c r="F509" s="11"/>
      <c r="G509" s="11"/>
      <c r="H509" s="11"/>
    </row>
    <row r="510" ht="15.75" customHeight="1">
      <c r="E510" s="11"/>
      <c r="F510" s="11"/>
      <c r="G510" s="11"/>
      <c r="H510" s="11"/>
    </row>
    <row r="511" ht="15.75" customHeight="1">
      <c r="E511" s="11"/>
      <c r="F511" s="11"/>
      <c r="G511" s="11"/>
      <c r="H511" s="11"/>
    </row>
    <row r="512" ht="15.75" customHeight="1">
      <c r="E512" s="11"/>
      <c r="F512" s="11"/>
      <c r="G512" s="11"/>
      <c r="H512" s="11"/>
    </row>
    <row r="513" ht="15.75" customHeight="1">
      <c r="E513" s="11"/>
      <c r="F513" s="11"/>
      <c r="G513" s="11"/>
      <c r="H513" s="11"/>
    </row>
    <row r="514" ht="15.75" customHeight="1">
      <c r="E514" s="11"/>
      <c r="F514" s="11"/>
      <c r="G514" s="11"/>
      <c r="H514" s="11"/>
    </row>
    <row r="515" ht="15.75" customHeight="1">
      <c r="E515" s="11"/>
      <c r="F515" s="11"/>
      <c r="G515" s="11"/>
      <c r="H515" s="11"/>
    </row>
    <row r="516" ht="15.75" customHeight="1">
      <c r="E516" s="11"/>
      <c r="F516" s="11"/>
      <c r="G516" s="11"/>
      <c r="H516" s="11"/>
    </row>
    <row r="517" ht="15.75" customHeight="1">
      <c r="E517" s="11"/>
      <c r="F517" s="11"/>
      <c r="G517" s="11"/>
      <c r="H517" s="11"/>
    </row>
    <row r="518" ht="15.75" customHeight="1">
      <c r="E518" s="11"/>
      <c r="F518" s="11"/>
      <c r="G518" s="11"/>
      <c r="H518" s="11"/>
    </row>
    <row r="519" ht="15.75" customHeight="1">
      <c r="E519" s="11"/>
      <c r="F519" s="11"/>
      <c r="G519" s="11"/>
      <c r="H519" s="11"/>
    </row>
    <row r="520" ht="15.75" customHeight="1">
      <c r="E520" s="11"/>
      <c r="F520" s="11"/>
      <c r="G520" s="11"/>
      <c r="H520" s="11"/>
    </row>
    <row r="521" ht="15.75" customHeight="1">
      <c r="E521" s="11"/>
      <c r="F521" s="11"/>
      <c r="G521" s="11"/>
      <c r="H521" s="11"/>
    </row>
    <row r="522" ht="15.75" customHeight="1">
      <c r="E522" s="11"/>
      <c r="F522" s="11"/>
      <c r="G522" s="11"/>
      <c r="H522" s="11"/>
    </row>
    <row r="523" ht="15.75" customHeight="1">
      <c r="E523" s="11"/>
      <c r="F523" s="11"/>
      <c r="G523" s="11"/>
      <c r="H523" s="11"/>
    </row>
    <row r="524" ht="15.75" customHeight="1">
      <c r="E524" s="11"/>
      <c r="F524" s="11"/>
      <c r="G524" s="11"/>
      <c r="H524" s="11"/>
    </row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2.75"/>
    <col customWidth="1" min="2" max="6" width="12.63"/>
  </cols>
  <sheetData>
    <row r="1" ht="15.75" customHeight="1">
      <c r="A1" s="1" t="s">
        <v>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5" t="s">
        <v>21</v>
      </c>
      <c r="B2" s="6">
        <f>DATE(2026,7,1)</f>
        <v>46204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5.75" customHeight="1">
      <c r="A3" s="1" t="s">
        <v>23</v>
      </c>
      <c r="B3" s="1" t="s">
        <v>50</v>
      </c>
      <c r="C3" s="1" t="s">
        <v>51</v>
      </c>
      <c r="D3" s="1" t="s">
        <v>52</v>
      </c>
      <c r="E3" s="1" t="s">
        <v>53</v>
      </c>
      <c r="F3" s="1" t="s">
        <v>54</v>
      </c>
      <c r="G3" s="1" t="s">
        <v>56</v>
      </c>
      <c r="H3" s="1" t="s">
        <v>58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75" customHeight="1">
      <c r="A4" s="7" t="s">
        <v>65</v>
      </c>
      <c r="B4" s="7">
        <v>150.0</v>
      </c>
      <c r="C4" s="7">
        <v>150.0</v>
      </c>
      <c r="D4" s="7">
        <v>150.0</v>
      </c>
      <c r="E4" s="7">
        <v>150.0</v>
      </c>
      <c r="F4" s="7">
        <v>150.0</v>
      </c>
      <c r="G4" s="7" t="s">
        <v>67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5.75" customHeight="1">
      <c r="A5" s="9" t="s">
        <v>68</v>
      </c>
      <c r="B5" s="9">
        <f>SUMIFS('REGISTRO DIARIO'!C:C,'REGISTRO DIARIO'!A:A,"&gt;="&amp;$B$2,'REGISTRO DIARIO'!A:A,"&lt;="&amp;($B$2+6))</f>
        <v>0</v>
      </c>
      <c r="C5" s="9">
        <f>SUMIFS('REGISTRO DIARIO'!C:C,'REGISTRO DIARIO'!A:A,"&gt;="&amp;($B$2+7),'REGISTRO DIARIO'!A:A,"&lt;="&amp;($B$2+13))</f>
        <v>0</v>
      </c>
      <c r="D5" s="9">
        <f>SUMIFS('REGISTRO DIARIO'!C:C,'REGISTRO DIARIO'!A:A,"&gt;="&amp;($B$2+14),'REGISTRO DIARIO'!A:A,"&lt;="&amp;($B$2+20))</f>
        <v>0</v>
      </c>
      <c r="E5" s="9">
        <f>SUMIFS('REGISTRO DIARIO'!C:C,'REGISTRO DIARIO'!A:A,"&gt;="&amp;($B$2+21),'REGISTRO DIARIO'!A:A,"&lt;="&amp;($B$2+27))</f>
        <v>123</v>
      </c>
      <c r="F5" s="9">
        <f>SUMIFS('REGISTRO DIARIO'!C:C,'REGISTRO DIARIO'!A:A,"&gt;="&amp;($B$2+28),'REGISTRO DIARIO'!A:A,"&lt;="&amp;($B$2+34))</f>
        <v>0</v>
      </c>
      <c r="G5" s="9">
        <f t="shared" ref="G5:G6" si="1">SUM(B5:F5)</f>
        <v>123</v>
      </c>
      <c r="H5" s="9" t="str">
        <f>IF(B5=0,"—",IF(B5&gt;=150,"VERDE",IF(B5&gt;=100,"AMARELO","VERMELHO")))</f>
        <v>—</v>
      </c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15.75" customHeight="1">
      <c r="A6" s="9" t="s">
        <v>71</v>
      </c>
      <c r="B6" s="9">
        <f>SUMIFS('REGISTRO DIARIO'!D:D,'REGISTRO DIARIO'!A:A,"&gt;="&amp;$B$2,'REGISTRO DIARIO'!A:A,"&lt;="&amp;($B$2+6))</f>
        <v>0</v>
      </c>
      <c r="C6" s="9">
        <f>SUMIFS('REGISTRO DIARIO'!D:D,'REGISTRO DIARIO'!A:A,"&gt;="&amp;($B$2+7),'REGISTRO DIARIO'!A:A,"&lt;="&amp;($B$2+13))</f>
        <v>0</v>
      </c>
      <c r="D6" s="9">
        <f>SUMIFS('REGISTRO DIARIO'!D:D,'REGISTRO DIARIO'!A:A,"&gt;="&amp;($B$2+14),'REGISTRO DIARIO'!A:A,"&lt;="&amp;($B$2+20))</f>
        <v>0</v>
      </c>
      <c r="E6" s="9">
        <f>SUMIFS('REGISTRO DIARIO'!D:D,'REGISTRO DIARIO'!A:A,"&gt;="&amp;($B$2+21),'REGISTRO DIARIO'!A:A,"&lt;="&amp;($B$2+27))</f>
        <v>87</v>
      </c>
      <c r="F6" s="9">
        <f>SUMIFS('REGISTRO DIARIO'!D:D,'REGISTRO DIARIO'!A:A,"&gt;="&amp;($B$2+28),'REGISTRO DIARIO'!A:A,"&lt;="&amp;($B$2+34))</f>
        <v>0</v>
      </c>
      <c r="G6" s="9">
        <f t="shared" si="1"/>
        <v>87</v>
      </c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15.75" customHeight="1">
      <c r="A7" s="5" t="s">
        <v>75</v>
      </c>
      <c r="B7" s="14" t="str">
        <f t="shared" ref="B7:G7" si="2">IFERROR(B6/B5,"")</f>
        <v/>
      </c>
      <c r="C7" s="14" t="str">
        <f t="shared" si="2"/>
        <v/>
      </c>
      <c r="D7" s="14" t="str">
        <f t="shared" si="2"/>
        <v/>
      </c>
      <c r="E7" s="14">
        <f t="shared" si="2"/>
        <v>0.7073170732</v>
      </c>
      <c r="F7" s="14" t="str">
        <f t="shared" si="2"/>
        <v/>
      </c>
      <c r="G7" s="14">
        <f t="shared" si="2"/>
        <v>0.7073170732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5.75" customHeight="1">
      <c r="A8" s="9" t="s">
        <v>76</v>
      </c>
      <c r="B8" s="9">
        <f>SUMIFS('REGISTRO DIARIO'!E:E,'REGISTRO DIARIO'!A:A,"&gt;="&amp;$B$2,'REGISTRO DIARIO'!A:A,"&lt;="&amp;($B$2+6))</f>
        <v>0</v>
      </c>
      <c r="C8" s="9">
        <f>SUMIFS('REGISTRO DIARIO'!E:E,'REGISTRO DIARIO'!A:A,"&gt;="&amp;($B$2+7),'REGISTRO DIARIO'!A:A,"&lt;="&amp;($B$2+13))</f>
        <v>0</v>
      </c>
      <c r="D8" s="9">
        <f>SUMIFS('REGISTRO DIARIO'!E:E,'REGISTRO DIARIO'!A:A,"&gt;="&amp;($B$2+14),'REGISTRO DIARIO'!A:A,"&lt;="&amp;($B$2+20))</f>
        <v>0</v>
      </c>
      <c r="E8" s="9">
        <f>SUMIFS('REGISTRO DIARIO'!E:E,'REGISTRO DIARIO'!A:A,"&gt;="&amp;($B$2+21),'REGISTRO DIARIO'!A:A,"&lt;="&amp;($B$2+27))</f>
        <v>54</v>
      </c>
      <c r="F8" s="9">
        <f>SUMIFS('REGISTRO DIARIO'!E:E,'REGISTRO DIARIO'!A:A,"&gt;="&amp;($B$2+28),'REGISTRO DIARIO'!A:A,"&lt;="&amp;($B$2+34))</f>
        <v>0</v>
      </c>
      <c r="G8" s="9">
        <f>SUM(B8:F8)</f>
        <v>54</v>
      </c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ht="15.75" customHeight="1">
      <c r="A9" s="5" t="s">
        <v>79</v>
      </c>
      <c r="B9" s="14" t="str">
        <f t="shared" ref="B9:G9" si="3">IFERROR(B8/B5,"")</f>
        <v/>
      </c>
      <c r="C9" s="14" t="str">
        <f t="shared" si="3"/>
        <v/>
      </c>
      <c r="D9" s="14" t="str">
        <f t="shared" si="3"/>
        <v/>
      </c>
      <c r="E9" s="14">
        <f t="shared" si="3"/>
        <v>0.4390243902</v>
      </c>
      <c r="F9" s="14" t="str">
        <f t="shared" si="3"/>
        <v/>
      </c>
      <c r="G9" s="14">
        <f t="shared" si="3"/>
        <v>0.4390243902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5.75" customHeight="1">
      <c r="A10" s="9" t="s">
        <v>80</v>
      </c>
      <c r="B10" s="9">
        <f>SUMIFS('REGISTRO DIARIO'!F:F,'REGISTRO DIARIO'!A:A,"&gt;="&amp;$B$2,'REGISTRO DIARIO'!A:A,"&lt;="&amp;($B$2+6))</f>
        <v>0</v>
      </c>
      <c r="C10" s="9">
        <f>SUMIFS('REGISTRO DIARIO'!F:F,'REGISTRO DIARIO'!A:A,"&gt;="&amp;($B$2+7),'REGISTRO DIARIO'!A:A,"&lt;="&amp;($B$2+13))</f>
        <v>0</v>
      </c>
      <c r="D10" s="9">
        <f>SUMIFS('REGISTRO DIARIO'!F:F,'REGISTRO DIARIO'!A:A,"&gt;="&amp;($B$2+14),'REGISTRO DIARIO'!A:A,"&lt;="&amp;($B$2+20))</f>
        <v>0</v>
      </c>
      <c r="E10" s="9">
        <f>SUMIFS('REGISTRO DIARIO'!F:F,'REGISTRO DIARIO'!A:A,"&gt;="&amp;($B$2+21),'REGISTRO DIARIO'!A:A,"&lt;="&amp;($B$2+27))</f>
        <v>38</v>
      </c>
      <c r="F10" s="9">
        <f>SUMIFS('REGISTRO DIARIO'!F:F,'REGISTRO DIARIO'!A:A,"&gt;="&amp;($B$2+28),'REGISTRO DIARIO'!A:A,"&lt;="&amp;($B$2+34))</f>
        <v>0</v>
      </c>
      <c r="G10" s="9">
        <f>SUM(B10:F10)</f>
        <v>38</v>
      </c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15.75" customHeight="1">
      <c r="A11" s="5" t="s">
        <v>86</v>
      </c>
      <c r="B11" s="14" t="str">
        <f t="shared" ref="B11:G11" si="4">IFERROR(B10/B8,"")</f>
        <v/>
      </c>
      <c r="C11" s="14" t="str">
        <f t="shared" si="4"/>
        <v/>
      </c>
      <c r="D11" s="14" t="str">
        <f t="shared" si="4"/>
        <v/>
      </c>
      <c r="E11" s="14">
        <f t="shared" si="4"/>
        <v>0.7037037037</v>
      </c>
      <c r="F11" s="14" t="str">
        <f t="shared" si="4"/>
        <v/>
      </c>
      <c r="G11" s="14">
        <f t="shared" si="4"/>
        <v>0.7037037037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5.75" customHeight="1">
      <c r="A12" s="9" t="s">
        <v>87</v>
      </c>
      <c r="B12" s="9">
        <f>SUMIFS('REGISTRO DIARIO'!G:G,'REGISTRO DIARIO'!A:A,"&gt;="&amp;$B$2,'REGISTRO DIARIO'!A:A,"&lt;="&amp;($B$2+6))</f>
        <v>0</v>
      </c>
      <c r="C12" s="9">
        <f>SUMIFS('REGISTRO DIARIO'!G:G,'REGISTRO DIARIO'!A:A,"&gt;="&amp;($B$2+7),'REGISTRO DIARIO'!A:A,"&lt;="&amp;($B$2+13))</f>
        <v>0</v>
      </c>
      <c r="D12" s="9">
        <f>SUMIFS('REGISTRO DIARIO'!G:G,'REGISTRO DIARIO'!A:A,"&gt;="&amp;($B$2+14),'REGISTRO DIARIO'!A:A,"&lt;="&amp;($B$2+20))</f>
        <v>0</v>
      </c>
      <c r="E12" s="9">
        <f>SUMIFS('REGISTRO DIARIO'!G:G,'REGISTRO DIARIO'!A:A,"&gt;="&amp;($B$2+21),'REGISTRO DIARIO'!A:A,"&lt;="&amp;($B$2+27))</f>
        <v>2</v>
      </c>
      <c r="F12" s="9">
        <f>SUMIFS('REGISTRO DIARIO'!G:G,'REGISTRO DIARIO'!A:A,"&gt;="&amp;($B$2+28),'REGISTRO DIARIO'!A:A,"&lt;="&amp;($B$2+34))</f>
        <v>0</v>
      </c>
      <c r="G12" s="9">
        <f>SUM(B12:F12)</f>
        <v>2</v>
      </c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15.75" customHeight="1">
      <c r="A13" s="5" t="s">
        <v>88</v>
      </c>
      <c r="B13" s="14" t="str">
        <f t="shared" ref="B13:G13" si="5">IFERROR(B12/B10,"")</f>
        <v/>
      </c>
      <c r="C13" s="14" t="str">
        <f t="shared" si="5"/>
        <v/>
      </c>
      <c r="D13" s="14" t="str">
        <f t="shared" si="5"/>
        <v/>
      </c>
      <c r="E13" s="14">
        <f t="shared" si="5"/>
        <v>0.05263157895</v>
      </c>
      <c r="F13" s="14" t="str">
        <f t="shared" si="5"/>
        <v/>
      </c>
      <c r="G13" s="14">
        <f t="shared" si="5"/>
        <v>0.05263157895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5.75" customHeight="1">
      <c r="A14" s="9" t="s">
        <v>91</v>
      </c>
      <c r="B14" s="9">
        <f>SUMIFS('REGISTRO DIARIO'!H:H,'REGISTRO DIARIO'!A:A,"&gt;="&amp;$B$2,'REGISTRO DIARIO'!A:A,"&lt;="&amp;($B$2+6))</f>
        <v>0</v>
      </c>
      <c r="C14" s="9">
        <f>SUMIFS('REGISTRO DIARIO'!H:H,'REGISTRO DIARIO'!A:A,"&gt;="&amp;($B$2+7),'REGISTRO DIARIO'!A:A,"&lt;="&amp;($B$2+13))</f>
        <v>0</v>
      </c>
      <c r="D14" s="9">
        <f>SUMIFS('REGISTRO DIARIO'!H:H,'REGISTRO DIARIO'!A:A,"&gt;="&amp;($B$2+14),'REGISTRO DIARIO'!A:A,"&lt;="&amp;($B$2+20))</f>
        <v>0</v>
      </c>
      <c r="E14" s="9">
        <f>SUMIFS('REGISTRO DIARIO'!H:H,'REGISTRO DIARIO'!A:A,"&gt;="&amp;($B$2+21),'REGISTRO DIARIO'!A:A,"&lt;="&amp;($B$2+27))</f>
        <v>12</v>
      </c>
      <c r="F14" s="9">
        <f>SUMIFS('REGISTRO DIARIO'!H:H,'REGISTRO DIARIO'!A:A,"&gt;="&amp;($B$2+28),'REGISTRO DIARIO'!A:A,"&lt;="&amp;($B$2+34))</f>
        <v>0</v>
      </c>
      <c r="G14" s="9">
        <f>SUM(B14:F14)</f>
        <v>12</v>
      </c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39.38"/>
    <col customWidth="1" min="2" max="6" width="12.63"/>
  </cols>
  <sheetData>
    <row r="1" ht="15.75" customHeight="1">
      <c r="A1" s="1" t="s">
        <v>1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/>
    <row r="3" ht="15.75" customHeight="1">
      <c r="A3" s="1" t="s">
        <v>23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75" customHeight="1">
      <c r="A4" s="7" t="s">
        <v>41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5.75" customHeight="1">
      <c r="A5" s="9" t="s">
        <v>59</v>
      </c>
      <c r="B5" s="9">
        <f>SUMIFS('REGISTRO DIARIO'!C:C,'REGISTRO DIARIO'!A:A,"&gt;="&amp;DATE(2026,1,1),'REGISTRO DIARIO'!A:A,"&lt;"&amp;DATE(2026,2,1))</f>
        <v>0</v>
      </c>
      <c r="C5" s="9">
        <f>SUMIFS('REGISTRO DIARIO'!C:C,'REGISTRO DIARIO'!A:A,"&gt;="&amp;DATE(2026,2,1),'REGISTRO DIARIO'!A:A,"&lt;"&amp;DATE(2026,3,1))</f>
        <v>0</v>
      </c>
      <c r="D5" s="9">
        <f>SUMIFS('REGISTRO DIARIO'!C:C,'REGISTRO DIARIO'!A:A,"&gt;="&amp;DATE(2026,3,1),'REGISTRO DIARIO'!A:A,"&lt;"&amp;DATE(2026,4,1))</f>
        <v>0</v>
      </c>
      <c r="E5" s="9">
        <f>SUMIFS('REGISTRO DIARIO'!C:C,'REGISTRO DIARIO'!A:A,"&gt;="&amp;DATE(2026,4,1),'REGISTRO DIARIO'!A:A,"&lt;"&amp;DATE(2026,5,1))</f>
        <v>0</v>
      </c>
      <c r="F5" s="9">
        <f>SUMIFS('REGISTRO DIARIO'!C:C,'REGISTRO DIARIO'!A:A,"&gt;="&amp;DATE(2026,5,1),'REGISTRO DIARIO'!A:A,"&lt;"&amp;DATE(2026,6,1))</f>
        <v>0</v>
      </c>
      <c r="G5" s="9">
        <f>SUMIFS('REGISTRO DIARIO'!C:C,'REGISTRO DIARIO'!A:A,"&gt;="&amp;DATE(2026,6,1),'REGISTRO DIARIO'!A:A,"&lt;"&amp;DATE(2026,7,1))</f>
        <v>0</v>
      </c>
      <c r="H5" s="9">
        <f>SUMIFS('REGISTRO DIARIO'!C:C,'REGISTRO DIARIO'!A:A,"&gt;="&amp;DATE(2026,7,1),'REGISTRO DIARIO'!A:A,"&lt;"&amp;DATE(2026,8,1))</f>
        <v>123</v>
      </c>
      <c r="I5" s="9">
        <f>SUMIFS('REGISTRO DIARIO'!C:C,'REGISTRO DIARIO'!A:A,"&gt;="&amp;DATE(2026,8,1),'REGISTRO DIARIO'!A:A,"&lt;"&amp;DATE(2026,9,1))</f>
        <v>0</v>
      </c>
      <c r="J5" s="9">
        <f>SUMIFS('REGISTRO DIARIO'!C:C,'REGISTRO DIARIO'!A:A,"&gt;="&amp;DATE(2026,9,1),'REGISTRO DIARIO'!A:A,"&lt;"&amp;DATE(2026,10,1))</f>
        <v>0</v>
      </c>
      <c r="K5" s="9">
        <f>SUMIFS('REGISTRO DIARIO'!C:C,'REGISTRO DIARIO'!A:A,"&gt;="&amp;DATE(2026,10,1),'REGISTRO DIARIO'!A:A,"&lt;"&amp;DATE(2026,11,1))</f>
        <v>0</v>
      </c>
      <c r="L5" s="9">
        <f>SUMIFS('REGISTRO DIARIO'!C:C,'REGISTRO DIARIO'!A:A,"&gt;="&amp;DATE(2026,11,1),'REGISTRO DIARIO'!A:A,"&lt;"&amp;DATE(2026,12,1))</f>
        <v>0</v>
      </c>
      <c r="M5" s="9">
        <f>SUMIFS('REGISTRO DIARIO'!C:C,'REGISTRO DIARIO'!A:A,"&gt;="&amp;DATE(2026,12,1),'REGISTRO DIARIO'!A:A,"&lt;"&amp;DATE(2027,1,1))</f>
        <v>0</v>
      </c>
      <c r="N5" s="9" t="s">
        <v>67</v>
      </c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15.75" customHeight="1">
      <c r="A6" s="9" t="s">
        <v>73</v>
      </c>
      <c r="B6" s="9">
        <f>SUMIFS('REGISTRO DIARIO'!F:F,'REGISTRO DIARIO'!A:A,"&gt;="&amp;DATE(2026,1,1),'REGISTRO DIARIO'!A:A,"&lt;"&amp;DATE(2026,2,1))</f>
        <v>0</v>
      </c>
      <c r="C6" s="9">
        <f>SUMIFS('REGISTRO DIARIO'!F:F,'REGISTRO DIARIO'!A:A,"&gt;="&amp;DATE(2026,2,1),'REGISTRO DIARIO'!A:A,"&lt;"&amp;DATE(2026,3,1))</f>
        <v>0</v>
      </c>
      <c r="D6" s="9">
        <f>SUMIFS('REGISTRO DIARIO'!F:F,'REGISTRO DIARIO'!A:A,"&gt;="&amp;DATE(2026,3,1),'REGISTRO DIARIO'!A:A,"&lt;"&amp;DATE(2026,4,1))</f>
        <v>0</v>
      </c>
      <c r="E6" s="9">
        <f>SUMIFS('REGISTRO DIARIO'!F:F,'REGISTRO DIARIO'!A:A,"&gt;="&amp;DATE(2026,4,1),'REGISTRO DIARIO'!A:A,"&lt;"&amp;DATE(2026,5,1))</f>
        <v>0</v>
      </c>
      <c r="F6" s="9">
        <f>SUMIFS('REGISTRO DIARIO'!F:F,'REGISTRO DIARIO'!A:A,"&gt;="&amp;DATE(2026,5,1),'REGISTRO DIARIO'!A:A,"&lt;"&amp;DATE(2026,6,1))</f>
        <v>0</v>
      </c>
      <c r="G6" s="9">
        <f>SUMIFS('REGISTRO DIARIO'!F:F,'REGISTRO DIARIO'!A:A,"&gt;="&amp;DATE(2026,6,1),'REGISTRO DIARIO'!A:A,"&lt;"&amp;DATE(2026,7,1))</f>
        <v>0</v>
      </c>
      <c r="H6" s="9">
        <f>SUMIFS('REGISTRO DIARIO'!F:F,'REGISTRO DIARIO'!A:A,"&gt;="&amp;DATE(2026,7,1),'REGISTRO DIARIO'!A:A,"&lt;"&amp;DATE(2026,8,1))</f>
        <v>38</v>
      </c>
      <c r="I6" s="9">
        <f>SUMIFS('REGISTRO DIARIO'!F:F,'REGISTRO DIARIO'!A:A,"&gt;="&amp;DATE(2026,8,1),'REGISTRO DIARIO'!A:A,"&lt;"&amp;DATE(2026,9,1))</f>
        <v>0</v>
      </c>
      <c r="J6" s="9">
        <f>SUMIFS('REGISTRO DIARIO'!F:F,'REGISTRO DIARIO'!A:A,"&gt;="&amp;DATE(2026,9,1),'REGISTRO DIARIO'!A:A,"&lt;"&amp;DATE(2026,10,1))</f>
        <v>0</v>
      </c>
      <c r="K6" s="9">
        <f>SUMIFS('REGISTRO DIARIO'!F:F,'REGISTRO DIARIO'!A:A,"&gt;="&amp;DATE(2026,10,1),'REGISTRO DIARIO'!A:A,"&lt;"&amp;DATE(2026,11,1))</f>
        <v>0</v>
      </c>
      <c r="L6" s="9">
        <f>SUMIFS('REGISTRO DIARIO'!F:F,'REGISTRO DIARIO'!A:A,"&gt;="&amp;DATE(2026,11,1),'REGISTRO DIARIO'!A:A,"&lt;"&amp;DATE(2026,12,1))</f>
        <v>0</v>
      </c>
      <c r="M6" s="9">
        <f>SUMIFS('REGISTRO DIARIO'!F:F,'REGISTRO DIARIO'!A:A,"&gt;="&amp;DATE(2026,12,1),'REGISTRO DIARIO'!A:A,"&lt;"&amp;DATE(2027,1,1))</f>
        <v>0</v>
      </c>
      <c r="N6" s="9" t="s">
        <v>77</v>
      </c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15.75" customHeight="1">
      <c r="A7" s="5" t="s">
        <v>78</v>
      </c>
      <c r="B7" s="5" t="str">
        <f t="shared" ref="B7:M7" si="1">IFERROR(B6/B5,"")</f>
        <v/>
      </c>
      <c r="C7" s="5" t="str">
        <f t="shared" si="1"/>
        <v/>
      </c>
      <c r="D7" s="5" t="str">
        <f t="shared" si="1"/>
        <v/>
      </c>
      <c r="E7" s="5" t="str">
        <f t="shared" si="1"/>
        <v/>
      </c>
      <c r="F7" s="5" t="str">
        <f t="shared" si="1"/>
        <v/>
      </c>
      <c r="G7" s="5" t="str">
        <f t="shared" si="1"/>
        <v/>
      </c>
      <c r="H7" s="5">
        <f t="shared" si="1"/>
        <v>0.3089430894</v>
      </c>
      <c r="I7" s="5" t="str">
        <f t="shared" si="1"/>
        <v/>
      </c>
      <c r="J7" s="5" t="str">
        <f t="shared" si="1"/>
        <v/>
      </c>
      <c r="K7" s="5" t="str">
        <f t="shared" si="1"/>
        <v/>
      </c>
      <c r="L7" s="5" t="str">
        <f t="shared" si="1"/>
        <v/>
      </c>
      <c r="M7" s="5" t="str">
        <f t="shared" si="1"/>
        <v/>
      </c>
      <c r="N7" s="5" t="s">
        <v>81</v>
      </c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5.75" customHeight="1">
      <c r="A8" s="5" t="s">
        <v>82</v>
      </c>
      <c r="B8" s="5" t="str">
        <f t="shared" ref="B8:M8" si="2">IFERROR(B9/B6,"")</f>
        <v/>
      </c>
      <c r="C8" s="5" t="str">
        <f t="shared" si="2"/>
        <v/>
      </c>
      <c r="D8" s="5" t="str">
        <f t="shared" si="2"/>
        <v/>
      </c>
      <c r="E8" s="5" t="str">
        <f t="shared" si="2"/>
        <v/>
      </c>
      <c r="F8" s="5" t="str">
        <f t="shared" si="2"/>
        <v/>
      </c>
      <c r="G8" s="5" t="str">
        <f t="shared" si="2"/>
        <v/>
      </c>
      <c r="H8" s="5">
        <f t="shared" si="2"/>
        <v>0.05263157895</v>
      </c>
      <c r="I8" s="5" t="str">
        <f t="shared" si="2"/>
        <v/>
      </c>
      <c r="J8" s="5" t="str">
        <f t="shared" si="2"/>
        <v/>
      </c>
      <c r="K8" s="5" t="str">
        <f t="shared" si="2"/>
        <v/>
      </c>
      <c r="L8" s="5" t="str">
        <f t="shared" si="2"/>
        <v/>
      </c>
      <c r="M8" s="5" t="str">
        <f t="shared" si="2"/>
        <v/>
      </c>
      <c r="N8" s="5" t="s">
        <v>83</v>
      </c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5.75" customHeight="1">
      <c r="A9" s="9" t="s">
        <v>85</v>
      </c>
      <c r="B9" s="9">
        <f>SUMIFS('REGISTRO DIARIO'!G:G,'REGISTRO DIARIO'!A:A,"&gt;="&amp;DATE(2026,1,1),'REGISTRO DIARIO'!A:A,"&lt;"&amp;DATE(2026,2,1))</f>
        <v>0</v>
      </c>
      <c r="C9" s="9">
        <f>SUMIFS('REGISTRO DIARIO'!G:G,'REGISTRO DIARIO'!A:A,"&gt;="&amp;DATE(2026,2,1),'REGISTRO DIARIO'!A:A,"&lt;"&amp;DATE(2026,3,1))</f>
        <v>0</v>
      </c>
      <c r="D9" s="9">
        <f>SUMIFS('REGISTRO DIARIO'!G:G,'REGISTRO DIARIO'!A:A,"&gt;="&amp;DATE(2026,3,1),'REGISTRO DIARIO'!A:A,"&lt;"&amp;DATE(2026,4,1))</f>
        <v>0</v>
      </c>
      <c r="E9" s="9">
        <f>SUMIFS('REGISTRO DIARIO'!G:G,'REGISTRO DIARIO'!A:A,"&gt;="&amp;DATE(2026,4,1),'REGISTRO DIARIO'!A:A,"&lt;"&amp;DATE(2026,5,1))</f>
        <v>0</v>
      </c>
      <c r="F9" s="9">
        <f>SUMIFS('REGISTRO DIARIO'!G:G,'REGISTRO DIARIO'!A:A,"&gt;="&amp;DATE(2026,5,1),'REGISTRO DIARIO'!A:A,"&lt;"&amp;DATE(2026,6,1))</f>
        <v>0</v>
      </c>
      <c r="G9" s="9">
        <f>SUMIFS('REGISTRO DIARIO'!G:G,'REGISTRO DIARIO'!A:A,"&gt;="&amp;DATE(2026,6,1),'REGISTRO DIARIO'!A:A,"&lt;"&amp;DATE(2026,7,1))</f>
        <v>0</v>
      </c>
      <c r="H9" s="9">
        <f>SUMIFS('REGISTRO DIARIO'!G:G,'REGISTRO DIARIO'!A:A,"&gt;="&amp;DATE(2026,7,1),'REGISTRO DIARIO'!A:A,"&lt;"&amp;DATE(2026,8,1))</f>
        <v>2</v>
      </c>
      <c r="I9" s="9">
        <f>SUMIFS('REGISTRO DIARIO'!G:G,'REGISTRO DIARIO'!A:A,"&gt;="&amp;DATE(2026,8,1),'REGISTRO DIARIO'!A:A,"&lt;"&amp;DATE(2026,9,1))</f>
        <v>0</v>
      </c>
      <c r="J9" s="9">
        <f>SUMIFS('REGISTRO DIARIO'!G:G,'REGISTRO DIARIO'!A:A,"&gt;="&amp;DATE(2026,9,1),'REGISTRO DIARIO'!A:A,"&lt;"&amp;DATE(2026,10,1))</f>
        <v>0</v>
      </c>
      <c r="K9" s="9">
        <f>SUMIFS('REGISTRO DIARIO'!G:G,'REGISTRO DIARIO'!A:A,"&gt;="&amp;DATE(2026,10,1),'REGISTRO DIARIO'!A:A,"&lt;"&amp;DATE(2026,11,1))</f>
        <v>0</v>
      </c>
      <c r="L9" s="9">
        <f>SUMIFS('REGISTRO DIARIO'!G:G,'REGISTRO DIARIO'!A:A,"&gt;="&amp;DATE(2026,11,1),'REGISTRO DIARIO'!A:A,"&lt;"&amp;DATE(2026,12,1))</f>
        <v>0</v>
      </c>
      <c r="M9" s="9">
        <f>SUMIFS('REGISTRO DIARIO'!G:G,'REGISTRO DIARIO'!A:A,"&gt;="&amp;DATE(2026,12,1),'REGISTRO DIARIO'!A:A,"&lt;"&amp;DATE(2027,1,1))</f>
        <v>0</v>
      </c>
      <c r="N9" s="9" t="s">
        <v>89</v>
      </c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15.75" customHeight="1">
      <c r="A10" s="9" t="s">
        <v>90</v>
      </c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 t="s">
        <v>92</v>
      </c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15.75" customHeight="1">
      <c r="A11" s="9" t="s">
        <v>93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 t="s">
        <v>94</v>
      </c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15.75" customHeight="1">
      <c r="A12" s="9" t="s">
        <v>95</v>
      </c>
      <c r="B12" s="9" t="str">
        <f>B11</f>
        <v/>
      </c>
      <c r="C12" s="9">
        <f t="shared" ref="C12:M12" si="3">C11+B12</f>
        <v>0</v>
      </c>
      <c r="D12" s="9">
        <f t="shared" si="3"/>
        <v>0</v>
      </c>
      <c r="E12" s="9">
        <f t="shared" si="3"/>
        <v>0</v>
      </c>
      <c r="F12" s="9">
        <f t="shared" si="3"/>
        <v>0</v>
      </c>
      <c r="G12" s="9">
        <f t="shared" si="3"/>
        <v>0</v>
      </c>
      <c r="H12" s="9">
        <f t="shared" si="3"/>
        <v>0</v>
      </c>
      <c r="I12" s="9">
        <f t="shared" si="3"/>
        <v>0</v>
      </c>
      <c r="J12" s="9">
        <f t="shared" si="3"/>
        <v>0</v>
      </c>
      <c r="K12" s="9">
        <f t="shared" si="3"/>
        <v>0</v>
      </c>
      <c r="L12" s="9">
        <f t="shared" si="3"/>
        <v>0</v>
      </c>
      <c r="M12" s="9">
        <f t="shared" si="3"/>
        <v>0</v>
      </c>
      <c r="N12" s="9" t="s">
        <v>97</v>
      </c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15.75" customHeight="1">
      <c r="A13" s="9" t="s">
        <v>91</v>
      </c>
      <c r="B13" s="9">
        <f>SUMIFS('REGISTRO DIARIO'!H:H,'REGISTRO DIARIO'!A:A,"&gt;="&amp;DATE(2026,1,1),'REGISTRO DIARIO'!A:A,"&lt;"&amp;DATE(2026,2,1))</f>
        <v>0</v>
      </c>
      <c r="C13" s="9">
        <f>SUMIFS('REGISTRO DIARIO'!H:H,'REGISTRO DIARIO'!A:A,"&gt;="&amp;DATE(2026,2,1),'REGISTRO DIARIO'!A:A,"&lt;"&amp;DATE(2026,3,1))</f>
        <v>0</v>
      </c>
      <c r="D13" s="9">
        <f>SUMIFS('REGISTRO DIARIO'!H:H,'REGISTRO DIARIO'!A:A,"&gt;="&amp;DATE(2026,3,1),'REGISTRO DIARIO'!A:A,"&lt;"&amp;DATE(2026,4,1))</f>
        <v>0</v>
      </c>
      <c r="E13" s="9">
        <f>SUMIFS('REGISTRO DIARIO'!H:H,'REGISTRO DIARIO'!A:A,"&gt;="&amp;DATE(2026,4,1),'REGISTRO DIARIO'!A:A,"&lt;"&amp;DATE(2026,5,1))</f>
        <v>0</v>
      </c>
      <c r="F13" s="9">
        <f>SUMIFS('REGISTRO DIARIO'!H:H,'REGISTRO DIARIO'!A:A,"&gt;="&amp;DATE(2026,5,1),'REGISTRO DIARIO'!A:A,"&lt;"&amp;DATE(2026,6,1))</f>
        <v>0</v>
      </c>
      <c r="G13" s="9">
        <f>SUMIFS('REGISTRO DIARIO'!H:H,'REGISTRO DIARIO'!A:A,"&gt;="&amp;DATE(2026,6,1),'REGISTRO DIARIO'!A:A,"&lt;"&amp;DATE(2026,7,1))</f>
        <v>0</v>
      </c>
      <c r="H13" s="9">
        <f>SUMIFS('REGISTRO DIARIO'!H:H,'REGISTRO DIARIO'!A:A,"&gt;="&amp;DATE(2026,7,1),'REGISTRO DIARIO'!A:A,"&lt;"&amp;DATE(2026,8,1))</f>
        <v>12</v>
      </c>
      <c r="I13" s="9">
        <f>SUMIFS('REGISTRO DIARIO'!H:H,'REGISTRO DIARIO'!A:A,"&gt;="&amp;DATE(2026,8,1),'REGISTRO DIARIO'!A:A,"&lt;"&amp;DATE(2026,9,1))</f>
        <v>0</v>
      </c>
      <c r="J13" s="9">
        <f>SUMIFS('REGISTRO DIARIO'!H:H,'REGISTRO DIARIO'!A:A,"&gt;="&amp;DATE(2026,9,1),'REGISTRO DIARIO'!A:A,"&lt;"&amp;DATE(2026,10,1))</f>
        <v>0</v>
      </c>
      <c r="K13" s="9">
        <f>SUMIFS('REGISTRO DIARIO'!H:H,'REGISTRO DIARIO'!A:A,"&gt;="&amp;DATE(2026,10,1),'REGISTRO DIARIO'!A:A,"&lt;"&amp;DATE(2026,11,1))</f>
        <v>0</v>
      </c>
      <c r="L13" s="9">
        <f>SUMIFS('REGISTRO DIARIO'!H:H,'REGISTRO DIARIO'!A:A,"&gt;="&amp;DATE(2026,11,1),'REGISTRO DIARIO'!A:A,"&lt;"&amp;DATE(2026,12,1))</f>
        <v>0</v>
      </c>
      <c r="M13" s="9">
        <f>SUMIFS('REGISTRO DIARIO'!H:H,'REGISTRO DIARIO'!A:A,"&gt;="&amp;DATE(2026,12,1),'REGISTRO DIARIO'!A:A,"&lt;"&amp;DATE(2027,1,1))</f>
        <v>0</v>
      </c>
      <c r="N13" s="9" t="s">
        <v>98</v>
      </c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15.75" customHeight="1">
      <c r="A14" s="7" t="s">
        <v>99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5.75" customHeight="1">
      <c r="A15" s="9" t="s">
        <v>100</v>
      </c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15.75" customHeight="1">
      <c r="A16" s="9" t="s">
        <v>102</v>
      </c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15.75" customHeight="1">
      <c r="A17" s="9" t="s">
        <v>103</v>
      </c>
      <c r="B17" s="9">
        <f t="shared" ref="B17:M17" si="4">B9*B15</f>
        <v>0</v>
      </c>
      <c r="C17" s="9">
        <f t="shared" si="4"/>
        <v>0</v>
      </c>
      <c r="D17" s="9">
        <f t="shared" si="4"/>
        <v>0</v>
      </c>
      <c r="E17" s="9">
        <f t="shared" si="4"/>
        <v>0</v>
      </c>
      <c r="F17" s="9">
        <f t="shared" si="4"/>
        <v>0</v>
      </c>
      <c r="G17" s="9">
        <f t="shared" si="4"/>
        <v>0</v>
      </c>
      <c r="H17" s="9">
        <f t="shared" si="4"/>
        <v>0</v>
      </c>
      <c r="I17" s="9">
        <f t="shared" si="4"/>
        <v>0</v>
      </c>
      <c r="J17" s="9">
        <f t="shared" si="4"/>
        <v>0</v>
      </c>
      <c r="K17" s="9">
        <f t="shared" si="4"/>
        <v>0</v>
      </c>
      <c r="L17" s="9">
        <f t="shared" si="4"/>
        <v>0</v>
      </c>
      <c r="M17" s="9">
        <f t="shared" si="4"/>
        <v>0</v>
      </c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15.75" customHeight="1">
      <c r="A18" s="9" t="s">
        <v>104</v>
      </c>
      <c r="B18" s="9">
        <f t="shared" ref="B18:M18" si="5">B12*B16</f>
        <v>0</v>
      </c>
      <c r="C18" s="9">
        <f t="shared" si="5"/>
        <v>0</v>
      </c>
      <c r="D18" s="9">
        <f t="shared" si="5"/>
        <v>0</v>
      </c>
      <c r="E18" s="9">
        <f t="shared" si="5"/>
        <v>0</v>
      </c>
      <c r="F18" s="9">
        <f t="shared" si="5"/>
        <v>0</v>
      </c>
      <c r="G18" s="9">
        <f t="shared" si="5"/>
        <v>0</v>
      </c>
      <c r="H18" s="9">
        <f t="shared" si="5"/>
        <v>0</v>
      </c>
      <c r="I18" s="9">
        <f t="shared" si="5"/>
        <v>0</v>
      </c>
      <c r="J18" s="9">
        <f t="shared" si="5"/>
        <v>0</v>
      </c>
      <c r="K18" s="9">
        <f t="shared" si="5"/>
        <v>0</v>
      </c>
      <c r="L18" s="9">
        <f t="shared" si="5"/>
        <v>0</v>
      </c>
      <c r="M18" s="9">
        <f t="shared" si="5"/>
        <v>0</v>
      </c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15.75" customHeight="1">
      <c r="A19" s="9" t="s">
        <v>105</v>
      </c>
      <c r="B19" s="9">
        <f t="shared" ref="B19:M19" si="6">B17+B18</f>
        <v>0</v>
      </c>
      <c r="C19" s="9">
        <f t="shared" si="6"/>
        <v>0</v>
      </c>
      <c r="D19" s="9">
        <f t="shared" si="6"/>
        <v>0</v>
      </c>
      <c r="E19" s="9">
        <f t="shared" si="6"/>
        <v>0</v>
      </c>
      <c r="F19" s="9">
        <f t="shared" si="6"/>
        <v>0</v>
      </c>
      <c r="G19" s="9">
        <f t="shared" si="6"/>
        <v>0</v>
      </c>
      <c r="H19" s="9">
        <f t="shared" si="6"/>
        <v>0</v>
      </c>
      <c r="I19" s="9">
        <f t="shared" si="6"/>
        <v>0</v>
      </c>
      <c r="J19" s="9">
        <f t="shared" si="6"/>
        <v>0</v>
      </c>
      <c r="K19" s="9">
        <f t="shared" si="6"/>
        <v>0</v>
      </c>
      <c r="L19" s="9">
        <f t="shared" si="6"/>
        <v>0</v>
      </c>
      <c r="M19" s="9">
        <f t="shared" si="6"/>
        <v>0</v>
      </c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15.75" customHeight="1">
      <c r="A20" s="9" t="s">
        <v>106</v>
      </c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 t="s">
        <v>107</v>
      </c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15.75" customHeight="1">
      <c r="A21" s="5" t="s">
        <v>108</v>
      </c>
      <c r="B21" s="5" t="str">
        <f t="shared" ref="B21:M21" si="7">IFERROR(B19/B20,"")</f>
        <v/>
      </c>
      <c r="C21" s="5" t="str">
        <f t="shared" si="7"/>
        <v/>
      </c>
      <c r="D21" s="5" t="str">
        <f t="shared" si="7"/>
        <v/>
      </c>
      <c r="E21" s="5" t="str">
        <f t="shared" si="7"/>
        <v/>
      </c>
      <c r="F21" s="5" t="str">
        <f t="shared" si="7"/>
        <v/>
      </c>
      <c r="G21" s="5" t="str">
        <f t="shared" si="7"/>
        <v/>
      </c>
      <c r="H21" s="5" t="str">
        <f t="shared" si="7"/>
        <v/>
      </c>
      <c r="I21" s="5" t="str">
        <f t="shared" si="7"/>
        <v/>
      </c>
      <c r="J21" s="5" t="str">
        <f t="shared" si="7"/>
        <v/>
      </c>
      <c r="K21" s="5" t="str">
        <f t="shared" si="7"/>
        <v/>
      </c>
      <c r="L21" s="5" t="str">
        <f t="shared" si="7"/>
        <v/>
      </c>
      <c r="M21" s="5" t="str">
        <f t="shared" si="7"/>
        <v/>
      </c>
      <c r="N21" s="5" t="s">
        <v>109</v>
      </c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5" t="s">
        <v>111</v>
      </c>
      <c r="B22" s="5" t="str">
        <f t="shared" ref="B22:M22" si="8">IFERROR(B20/B6,"")</f>
        <v/>
      </c>
      <c r="C22" s="5" t="str">
        <f t="shared" si="8"/>
        <v/>
      </c>
      <c r="D22" s="5" t="str">
        <f t="shared" si="8"/>
        <v/>
      </c>
      <c r="E22" s="5" t="str">
        <f t="shared" si="8"/>
        <v/>
      </c>
      <c r="F22" s="5" t="str">
        <f t="shared" si="8"/>
        <v/>
      </c>
      <c r="G22" s="5" t="str">
        <f t="shared" si="8"/>
        <v/>
      </c>
      <c r="H22" s="5">
        <f t="shared" si="8"/>
        <v>0</v>
      </c>
      <c r="I22" s="5" t="str">
        <f t="shared" si="8"/>
        <v/>
      </c>
      <c r="J22" s="5" t="str">
        <f t="shared" si="8"/>
        <v/>
      </c>
      <c r="K22" s="5" t="str">
        <f t="shared" si="8"/>
        <v/>
      </c>
      <c r="L22" s="5" t="str">
        <f t="shared" si="8"/>
        <v/>
      </c>
      <c r="M22" s="5" t="str">
        <f t="shared" si="8"/>
        <v/>
      </c>
      <c r="N22" s="5" t="s">
        <v>112</v>
      </c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7" t="s">
        <v>113</v>
      </c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5.75" customHeight="1">
      <c r="A24" s="9" t="s">
        <v>114</v>
      </c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 t="s">
        <v>115</v>
      </c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15.75" customHeight="1">
      <c r="A25" s="9" t="s">
        <v>116</v>
      </c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 t="s">
        <v>117</v>
      </c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15.75" customHeight="1">
      <c r="A26" s="9" t="s">
        <v>118</v>
      </c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 t="s">
        <v>119</v>
      </c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7.75"/>
    <col customWidth="1" min="2" max="2" width="24.38"/>
    <col customWidth="1" min="3" max="3" width="24.13"/>
    <col customWidth="1" min="4" max="4" width="19.88"/>
    <col customWidth="1" min="5" max="6" width="12.63"/>
  </cols>
  <sheetData>
    <row r="1" ht="15.75" customHeight="1">
      <c r="A1" s="3" t="s">
        <v>16</v>
      </c>
    </row>
    <row r="2" ht="15.75" customHeight="1">
      <c r="A2" s="3" t="s">
        <v>17</v>
      </c>
      <c r="B2" s="3" t="s">
        <v>18</v>
      </c>
    </row>
    <row r="3" ht="15.75" customHeight="1">
      <c r="A3" s="3" t="s">
        <v>19</v>
      </c>
      <c r="B3" s="4">
        <v>46204.0</v>
      </c>
    </row>
    <row r="4" ht="15.75" customHeight="1"/>
    <row r="5" ht="15.75" customHeight="1">
      <c r="A5" s="3" t="s">
        <v>20</v>
      </c>
      <c r="B5" s="3" t="s">
        <v>22</v>
      </c>
      <c r="C5" s="3" t="s">
        <v>24</v>
      </c>
      <c r="D5" s="3" t="s">
        <v>25</v>
      </c>
    </row>
    <row r="6" ht="15.75" customHeight="1">
      <c r="A6" s="3" t="s">
        <v>26</v>
      </c>
      <c r="B6" s="3">
        <f>SEMANAL!G5</f>
        <v>123</v>
      </c>
      <c r="C6" s="3">
        <f>SEMANAL!G10</f>
        <v>38</v>
      </c>
      <c r="D6" s="3">
        <f>SEMANAL!G12</f>
        <v>2</v>
      </c>
    </row>
    <row r="7" ht="15.75" customHeight="1">
      <c r="A7" s="3" t="s">
        <v>36</v>
      </c>
      <c r="B7" s="3" t="s">
        <v>37</v>
      </c>
      <c r="C7" s="3" t="s">
        <v>38</v>
      </c>
      <c r="D7" s="3" t="s">
        <v>39</v>
      </c>
    </row>
    <row r="8" ht="15.75" customHeight="1"/>
    <row r="9" ht="15.75" customHeight="1">
      <c r="A9" s="3" t="s">
        <v>40</v>
      </c>
    </row>
    <row r="10" ht="15.75" customHeight="1">
      <c r="A10" s="3" t="s">
        <v>42</v>
      </c>
      <c r="B10" s="3" t="s">
        <v>43</v>
      </c>
    </row>
    <row r="11" ht="15.75" customHeight="1">
      <c r="A11" s="3" t="s">
        <v>44</v>
      </c>
      <c r="B11" s="3" t="s">
        <v>45</v>
      </c>
    </row>
    <row r="12" ht="15.75" customHeight="1">
      <c r="A12" s="3" t="s">
        <v>46</v>
      </c>
      <c r="B12" s="3" t="s">
        <v>47</v>
      </c>
    </row>
    <row r="13" ht="15.75" customHeight="1"/>
    <row r="14" ht="15.75" customHeight="1">
      <c r="A14" s="3" t="s">
        <v>48</v>
      </c>
      <c r="B14" s="3" t="str">
        <f>IF(SEMANAL!B5=0,"Preencha a aba SEMANAL",IF(SEMANAL!B5&gt;=150,"No caminho! 150+ prospecções na Semana 1",IF(SEMANAL!B5&gt;=100,"Atenção — entre 100 e 149. Revise sua rotina.","Ajuste urgente — menos de 100. Pare e diagnostique.")))</f>
        <v>Preencha a aba SEMANAL</v>
      </c>
    </row>
    <row r="15" ht="15.75" customHeight="1"/>
    <row r="16" ht="15.75" customHeight="1">
      <c r="A16" s="3" t="s">
        <v>55</v>
      </c>
      <c r="B16" s="3" t="s">
        <v>57</v>
      </c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